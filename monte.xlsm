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19320" windowHeight="7995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AD19" i="1"/>
  <c r="AC18"/>
  <c r="AB18" l="1"/>
  <c r="AD18"/>
  <c r="AE18"/>
  <c r="AF18"/>
  <c r="AB19"/>
  <c r="AC19"/>
  <c r="AE19"/>
  <c r="AF19"/>
  <c r="AA19"/>
  <c r="AA18"/>
  <c r="Z83"/>
  <c r="Z80"/>
  <c r="Z81"/>
  <c r="Z82" s="1"/>
  <c r="Z52"/>
  <c r="Z53"/>
  <c r="Z54" s="1"/>
  <c r="Z55" s="1"/>
  <c r="Z56" s="1"/>
  <c r="Z57" s="1"/>
  <c r="Z58" s="1"/>
  <c r="Z59" s="1"/>
  <c r="Z60" s="1"/>
  <c r="Z61" s="1"/>
  <c r="Z62" s="1"/>
  <c r="Z63" s="1"/>
  <c r="Z64" s="1"/>
  <c r="Z65" s="1"/>
  <c r="Z66" s="1"/>
  <c r="Z67" s="1"/>
  <c r="Z68" s="1"/>
  <c r="Z69" s="1"/>
  <c r="Z70" s="1"/>
  <c r="Z71" s="1"/>
  <c r="Z72" s="1"/>
  <c r="Z73" s="1"/>
  <c r="Z74" s="1"/>
  <c r="Z75" s="1"/>
  <c r="Z76" s="1"/>
  <c r="Z77" s="1"/>
  <c r="Z78" s="1"/>
  <c r="Z79" s="1"/>
  <c r="Z22" l="1"/>
  <c r="Z23"/>
  <c r="Z24" s="1"/>
  <c r="Z25" s="1"/>
  <c r="Z26" s="1"/>
  <c r="Z27" s="1"/>
  <c r="Z28" s="1"/>
  <c r="Z29" s="1"/>
  <c r="Z30" s="1"/>
  <c r="Z31" s="1"/>
  <c r="Z32" s="1"/>
  <c r="Z33" s="1"/>
  <c r="Z34" s="1"/>
  <c r="Z35" s="1"/>
  <c r="Z36" s="1"/>
  <c r="Z37" s="1"/>
  <c r="Z38" s="1"/>
  <c r="Z39" s="1"/>
  <c r="Z40" s="1"/>
  <c r="Z41" s="1"/>
  <c r="Z42" s="1"/>
  <c r="Z43" s="1"/>
  <c r="Z44" s="1"/>
  <c r="Z45" s="1"/>
  <c r="Z46" s="1"/>
  <c r="Z47" s="1"/>
  <c r="Z48" s="1"/>
  <c r="Z49" s="1"/>
  <c r="Z50" s="1"/>
  <c r="Z51" s="1"/>
  <c r="Z21"/>
  <c r="H8" l="1"/>
  <c r="I8" s="1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I16" l="1"/>
  <c r="I38"/>
  <c r="I10"/>
  <c r="I41"/>
  <c r="I33"/>
  <c r="I25"/>
  <c r="I17"/>
  <c r="I37"/>
  <c r="I29"/>
  <c r="I21"/>
  <c r="I13"/>
  <c r="I30"/>
  <c r="I22"/>
  <c r="I14"/>
  <c r="I43"/>
  <c r="I35"/>
  <c r="I27"/>
  <c r="I19"/>
  <c r="I11"/>
  <c r="I42"/>
  <c r="I40"/>
  <c r="I34"/>
  <c r="I32"/>
  <c r="I26"/>
  <c r="I24"/>
  <c r="I18"/>
  <c r="I36"/>
  <c r="I28"/>
  <c r="I20"/>
  <c r="I12"/>
  <c r="I9"/>
  <c r="I39"/>
  <c r="I31"/>
  <c r="I23"/>
  <c r="I15"/>
  <c r="D17"/>
  <c r="K8"/>
  <c r="M8"/>
  <c r="D16"/>
  <c r="D18"/>
  <c r="D11"/>
  <c r="D43"/>
  <c r="D23"/>
  <c r="D20"/>
  <c r="D37"/>
  <c r="D24"/>
  <c r="D9"/>
  <c r="D25"/>
  <c r="D31"/>
  <c r="D34"/>
  <c r="D36"/>
  <c r="D41"/>
  <c r="D42"/>
  <c r="D32"/>
  <c r="D13"/>
  <c r="D35"/>
  <c r="D26"/>
  <c r="D8"/>
  <c r="D15"/>
  <c r="D33"/>
  <c r="D29"/>
  <c r="D38"/>
  <c r="D21"/>
  <c r="D27"/>
  <c r="D22"/>
  <c r="D39"/>
  <c r="D19"/>
  <c r="D40"/>
  <c r="D10"/>
  <c r="D28"/>
  <c r="D12"/>
  <c r="D14"/>
  <c r="L8" l="1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R12"/>
  <c r="Q11"/>
  <c r="Q8"/>
  <c r="Q10"/>
  <c r="Q9"/>
  <c r="D30"/>
  <c r="R9"/>
  <c r="R10"/>
  <c r="R11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8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L43" l="1"/>
  <c r="N43" s="1"/>
  <c r="L39"/>
  <c r="N39" s="1"/>
  <c r="L35"/>
  <c r="O35" s="1"/>
  <c r="L31"/>
  <c r="N31" s="1"/>
  <c r="L27"/>
  <c r="N27" s="1"/>
  <c r="L23"/>
  <c r="N23" s="1"/>
  <c r="L19"/>
  <c r="N19" s="1"/>
  <c r="L15"/>
  <c r="N15" s="1"/>
  <c r="L11"/>
  <c r="N11" s="1"/>
  <c r="L40"/>
  <c r="N40" s="1"/>
  <c r="L36"/>
  <c r="N36" s="1"/>
  <c r="L32"/>
  <c r="O32" s="1"/>
  <c r="L24"/>
  <c r="O24" s="1"/>
  <c r="L20"/>
  <c r="O20" s="1"/>
  <c r="L16"/>
  <c r="N16" s="1"/>
  <c r="L12"/>
  <c r="O12" s="1"/>
  <c r="O8"/>
  <c r="N8"/>
  <c r="L28"/>
  <c r="N28" s="1"/>
  <c r="L41"/>
  <c r="L37"/>
  <c r="L33"/>
  <c r="N33" s="1"/>
  <c r="L29"/>
  <c r="O29" s="1"/>
  <c r="L25"/>
  <c r="L21"/>
  <c r="L17"/>
  <c r="N17" s="1"/>
  <c r="L13"/>
  <c r="O13" s="1"/>
  <c r="L9"/>
  <c r="L42"/>
  <c r="N42" s="1"/>
  <c r="L38"/>
  <c r="N38" s="1"/>
  <c r="L34"/>
  <c r="O34" s="1"/>
  <c r="L30"/>
  <c r="L26"/>
  <c r="N26" s="1"/>
  <c r="L22"/>
  <c r="N22" s="1"/>
  <c r="L18"/>
  <c r="O18" s="1"/>
  <c r="L14"/>
  <c r="L10"/>
  <c r="N10" s="1"/>
  <c r="O23" l="1"/>
  <c r="P23" s="1"/>
  <c r="O39"/>
  <c r="P39" s="1"/>
  <c r="G39" s="1"/>
  <c r="O27"/>
  <c r="P27" s="1"/>
  <c r="G27" s="1"/>
  <c r="O11"/>
  <c r="P11" s="1"/>
  <c r="G11" s="1"/>
  <c r="O43"/>
  <c r="P43" s="1"/>
  <c r="G43" s="1"/>
  <c r="N35"/>
  <c r="P35" s="1"/>
  <c r="G35" s="1"/>
  <c r="O15"/>
  <c r="P15" s="1"/>
  <c r="G15" s="1"/>
  <c r="O31"/>
  <c r="P31" s="1"/>
  <c r="G31" s="1"/>
  <c r="N32"/>
  <c r="P32" s="1"/>
  <c r="G32" s="1"/>
  <c r="O19"/>
  <c r="P19" s="1"/>
  <c r="G19" s="1"/>
  <c r="N12"/>
  <c r="P12" s="1"/>
  <c r="G12" s="1"/>
  <c r="O36"/>
  <c r="P36" s="1"/>
  <c r="O40"/>
  <c r="P40" s="1"/>
  <c r="N20"/>
  <c r="P20" s="1"/>
  <c r="N24"/>
  <c r="P24" s="1"/>
  <c r="G24" s="1"/>
  <c r="O16"/>
  <c r="P16" s="1"/>
  <c r="G16" s="1"/>
  <c r="P8"/>
  <c r="G8" s="1"/>
  <c r="S8" s="1"/>
  <c r="O14"/>
  <c r="O30"/>
  <c r="N13"/>
  <c r="P13" s="1"/>
  <c r="N29"/>
  <c r="P29" s="1"/>
  <c r="O9"/>
  <c r="O25"/>
  <c r="O41"/>
  <c r="N18"/>
  <c r="P18" s="1"/>
  <c r="N34"/>
  <c r="P34" s="1"/>
  <c r="O10"/>
  <c r="P10" s="1"/>
  <c r="O26"/>
  <c r="O42"/>
  <c r="N9"/>
  <c r="N25"/>
  <c r="N41"/>
  <c r="O21"/>
  <c r="O37"/>
  <c r="N14"/>
  <c r="N30"/>
  <c r="O22"/>
  <c r="O38"/>
  <c r="P38" s="1"/>
  <c r="N21"/>
  <c r="N37"/>
  <c r="O17"/>
  <c r="O33"/>
  <c r="P33" s="1"/>
  <c r="O28"/>
  <c r="P28" s="1"/>
  <c r="U19" l="1"/>
  <c r="X32"/>
  <c r="S43"/>
  <c r="V35"/>
  <c r="V24"/>
  <c r="G33"/>
  <c r="U33" s="1"/>
  <c r="G38"/>
  <c r="X38" s="1"/>
  <c r="G36"/>
  <c r="S36" s="1"/>
  <c r="G10"/>
  <c r="X10" s="1"/>
  <c r="W11"/>
  <c r="V16"/>
  <c r="P22"/>
  <c r="G22" s="1"/>
  <c r="U22" s="1"/>
  <c r="G28"/>
  <c r="V28" s="1"/>
  <c r="T12"/>
  <c r="G29"/>
  <c r="V29" s="1"/>
  <c r="G18"/>
  <c r="T18" s="1"/>
  <c r="G23"/>
  <c r="T23" s="1"/>
  <c r="G34"/>
  <c r="U34" s="1"/>
  <c r="G13"/>
  <c r="X13" s="1"/>
  <c r="G20"/>
  <c r="X20" s="1"/>
  <c r="G40"/>
  <c r="S40" s="1"/>
  <c r="T11"/>
  <c r="X11"/>
  <c r="S11"/>
  <c r="V11"/>
  <c r="U11"/>
  <c r="T32"/>
  <c r="U16"/>
  <c r="V32"/>
  <c r="U32"/>
  <c r="S32"/>
  <c r="P30"/>
  <c r="T27"/>
  <c r="U27"/>
  <c r="S27"/>
  <c r="X27"/>
  <c r="V27"/>
  <c r="W27"/>
  <c r="W16"/>
  <c r="P14"/>
  <c r="G14" s="1"/>
  <c r="X16"/>
  <c r="U24"/>
  <c r="S16"/>
  <c r="T16"/>
  <c r="U12"/>
  <c r="W31"/>
  <c r="V31"/>
  <c r="S31"/>
  <c r="T31"/>
  <c r="U31"/>
  <c r="X12"/>
  <c r="S12"/>
  <c r="V12"/>
  <c r="W12"/>
  <c r="U43"/>
  <c r="V43"/>
  <c r="T43"/>
  <c r="P37"/>
  <c r="G37" s="1"/>
  <c r="X15"/>
  <c r="U15"/>
  <c r="V15"/>
  <c r="S15"/>
  <c r="T15"/>
  <c r="W24"/>
  <c r="T24"/>
  <c r="T35"/>
  <c r="S24"/>
  <c r="X24"/>
  <c r="P41"/>
  <c r="G41" s="1"/>
  <c r="W32"/>
  <c r="U35"/>
  <c r="S35"/>
  <c r="S19"/>
  <c r="W15"/>
  <c r="X39"/>
  <c r="V39"/>
  <c r="W39"/>
  <c r="S39"/>
  <c r="T39"/>
  <c r="U39"/>
  <c r="V8"/>
  <c r="T8"/>
  <c r="U8"/>
  <c r="X31"/>
  <c r="T19"/>
  <c r="V19"/>
  <c r="W8"/>
  <c r="X8"/>
  <c r="P21"/>
  <c r="G21" s="1"/>
  <c r="P17"/>
  <c r="G17" s="1"/>
  <c r="P9"/>
  <c r="G9" s="1"/>
  <c r="P26"/>
  <c r="G26" s="1"/>
  <c r="W19"/>
  <c r="X19"/>
  <c r="W43"/>
  <c r="X43"/>
  <c r="P25"/>
  <c r="G25" s="1"/>
  <c r="P42"/>
  <c r="G42" s="1"/>
  <c r="W35"/>
  <c r="X35"/>
  <c r="U36" l="1"/>
  <c r="T36"/>
  <c r="W36"/>
  <c r="V36"/>
  <c r="X36"/>
  <c r="W23"/>
  <c r="U23"/>
  <c r="V34"/>
  <c r="X18"/>
  <c r="U18"/>
  <c r="S13"/>
  <c r="W13"/>
  <c r="V13"/>
  <c r="T13"/>
  <c r="U13"/>
  <c r="S34"/>
  <c r="S29"/>
  <c r="T29"/>
  <c r="T34"/>
  <c r="V18"/>
  <c r="S18"/>
  <c r="W34"/>
  <c r="X29"/>
  <c r="V20"/>
  <c r="W29"/>
  <c r="S20"/>
  <c r="U29"/>
  <c r="W20"/>
  <c r="U20"/>
  <c r="X23"/>
  <c r="V23"/>
  <c r="S23"/>
  <c r="X34"/>
  <c r="W18"/>
  <c r="X40"/>
  <c r="T20"/>
  <c r="W40"/>
  <c r="V40"/>
  <c r="U37"/>
  <c r="U40"/>
  <c r="T40"/>
  <c r="G30"/>
  <c r="X30" s="1"/>
  <c r="S14"/>
  <c r="U41"/>
  <c r="T14"/>
  <c r="X14"/>
  <c r="V14"/>
  <c r="W14"/>
  <c r="U14"/>
  <c r="V22"/>
  <c r="U10"/>
  <c r="V10"/>
  <c r="S41"/>
  <c r="V41"/>
  <c r="W38"/>
  <c r="W33"/>
  <c r="S33"/>
  <c r="T33"/>
  <c r="T28"/>
  <c r="X33"/>
  <c r="U28"/>
  <c r="S28"/>
  <c r="V33"/>
  <c r="W28"/>
  <c r="X28"/>
  <c r="S38"/>
  <c r="V38"/>
  <c r="T38"/>
  <c r="U38"/>
  <c r="V37"/>
  <c r="T37"/>
  <c r="T10"/>
  <c r="S22"/>
  <c r="X22"/>
  <c r="S10"/>
  <c r="W10"/>
  <c r="T22"/>
  <c r="W22"/>
  <c r="T9"/>
  <c r="W9"/>
  <c r="X9"/>
  <c r="U9"/>
  <c r="V9"/>
  <c r="S9"/>
  <c r="S21"/>
  <c r="W21"/>
  <c r="V21"/>
  <c r="T21"/>
  <c r="X21"/>
  <c r="U21"/>
  <c r="X25"/>
  <c r="W25"/>
  <c r="U25"/>
  <c r="S25"/>
  <c r="T25"/>
  <c r="V25"/>
  <c r="W26"/>
  <c r="X26"/>
  <c r="T26"/>
  <c r="U26"/>
  <c r="S26"/>
  <c r="V26"/>
  <c r="W42"/>
  <c r="X42"/>
  <c r="V42"/>
  <c r="S42"/>
  <c r="U42"/>
  <c r="T42"/>
  <c r="X17"/>
  <c r="W17"/>
  <c r="T17"/>
  <c r="S17"/>
  <c r="V17"/>
  <c r="U17"/>
  <c r="X37"/>
  <c r="W37"/>
  <c r="S37"/>
  <c r="X41"/>
  <c r="W41"/>
  <c r="T41"/>
  <c r="W30" l="1"/>
  <c r="T30"/>
  <c r="S30"/>
  <c r="S6" s="1"/>
  <c r="S2" s="1"/>
  <c r="V30"/>
  <c r="U30"/>
  <c r="X6" l="1"/>
  <c r="X2" s="1"/>
  <c r="W6"/>
  <c r="W2" s="1"/>
  <c r="U6"/>
  <c r="U2" s="1"/>
  <c r="T6"/>
  <c r="T2" s="1"/>
  <c r="V6"/>
  <c r="V2" s="1"/>
  <c r="P2" l="1"/>
  <c r="Z6"/>
</calcChain>
</file>

<file path=xl/sharedStrings.xml><?xml version="1.0" encoding="utf-8"?>
<sst xmlns="http://schemas.openxmlformats.org/spreadsheetml/2006/main" count="37" uniqueCount="31">
  <si>
    <t>target place</t>
  </si>
  <si>
    <t>type</t>
  </si>
  <si>
    <t>firstfixation</t>
  </si>
  <si>
    <t>serialspace</t>
  </si>
  <si>
    <t>fxation change</t>
  </si>
  <si>
    <t>min</t>
  </si>
  <si>
    <t>max</t>
  </si>
  <si>
    <t>is satisfactory?</t>
  </si>
  <si>
    <t>eccetricity</t>
  </si>
  <si>
    <t>filter close</t>
  </si>
  <si>
    <t>type_retino_close</t>
  </si>
  <si>
    <t>type_control_close</t>
  </si>
  <si>
    <t>type_control_far</t>
  </si>
  <si>
    <t>type_control_far_close</t>
  </si>
  <si>
    <t>type_Spatio+retino+far+close_far</t>
  </si>
  <si>
    <t>fixation_place</t>
  </si>
  <si>
    <t xml:space="preserve">type_spatio_close </t>
  </si>
  <si>
    <t>spatiotopic- close</t>
  </si>
  <si>
    <t>retinotopic-close</t>
  </si>
  <si>
    <t>different close</t>
  </si>
  <si>
    <t>spatio+retino: far and close</t>
  </si>
  <si>
    <t>different: far</t>
  </si>
  <si>
    <t>different far+close</t>
  </si>
  <si>
    <t>HISTORY- AUTOMATICLY UPDATES after button press:</t>
  </si>
  <si>
    <t>constraints:</t>
  </si>
  <si>
    <t>does the found value is within the range?</t>
  </si>
  <si>
    <t>actual numbers :</t>
  </si>
  <si>
    <t>expected means given design:</t>
  </si>
  <si>
    <t>sum:</t>
  </si>
  <si>
    <t>mean:</t>
  </si>
  <si>
    <t>block number</t>
  </si>
</sst>
</file>

<file path=xl/styles.xml><?xml version="1.0" encoding="utf-8"?>
<styleSheet xmlns="http://schemas.openxmlformats.org/spreadsheetml/2006/main">
  <fonts count="1">
    <font>
      <sz val="11"/>
      <color theme="1"/>
      <name val="Arial"/>
      <family val="2"/>
      <charset val="177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2" borderId="0" xfId="0" applyFill="1" applyAlignment="1">
      <alignment horizontal="center"/>
    </xf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5" borderId="17" xfId="0" applyFill="1" applyBorder="1"/>
    <xf numFmtId="0" fontId="0" fillId="6" borderId="18" xfId="0" applyFill="1" applyBorder="1"/>
    <xf numFmtId="0" fontId="0" fillId="5" borderId="18" xfId="0" applyFill="1" applyBorder="1"/>
    <xf numFmtId="0" fontId="0" fillId="0" borderId="18" xfId="0" applyBorder="1"/>
    <xf numFmtId="0" fontId="0" fillId="6" borderId="19" xfId="0" applyFill="1" applyBorder="1"/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108857</xdr:colOff>
      <xdr:row>0</xdr:row>
      <xdr:rowOff>0</xdr:rowOff>
    </xdr:from>
    <xdr:to>
      <xdr:col>11</xdr:col>
      <xdr:colOff>666749</xdr:colOff>
      <xdr:row>4</xdr:row>
      <xdr:rowOff>40822</xdr:rowOff>
    </xdr:to>
    <xdr:sp macro="[0]!shuffel" textlink="">
      <xdr:nvSpPr>
        <xdr:cNvPr id="2" name="Bevel 1"/>
        <xdr:cNvSpPr/>
      </xdr:nvSpPr>
      <xdr:spPr>
        <a:xfrm>
          <a:off x="5551714" y="0"/>
          <a:ext cx="2598964" cy="748393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SHUFFEL</a:t>
          </a:r>
          <a:r>
            <a:rPr lang="en-US" sz="1100" baseline="0"/>
            <a:t> NOW</a:t>
          </a:r>
          <a:endParaRPr lang="en-US" sz="1100"/>
        </a:p>
      </xdr:txBody>
    </xdr:sp>
    <xdr:clientData/>
  </xdr:twoCellAnchor>
  <xdr:twoCellAnchor>
    <xdr:from>
      <xdr:col>4</xdr:col>
      <xdr:colOff>13607</xdr:colOff>
      <xdr:row>0</xdr:row>
      <xdr:rowOff>40821</xdr:rowOff>
    </xdr:from>
    <xdr:to>
      <xdr:col>8</xdr:col>
      <xdr:colOff>0</xdr:colOff>
      <xdr:row>4</xdr:row>
      <xdr:rowOff>13608</xdr:rowOff>
    </xdr:to>
    <xdr:sp macro="[0]!pop_explention" textlink="">
      <xdr:nvSpPr>
        <xdr:cNvPr id="3" name="Rectangle 2"/>
        <xdr:cNvSpPr/>
      </xdr:nvSpPr>
      <xdr:spPr>
        <a:xfrm>
          <a:off x="2735036" y="40821"/>
          <a:ext cx="2707821" cy="6803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3200"/>
            <a:t>PRESS ME</a:t>
          </a:r>
          <a:endParaRPr lang="he-IL" sz="32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F83"/>
  <sheetViews>
    <sheetView tabSelected="1" zoomScale="70" zoomScaleNormal="70" workbookViewId="0">
      <selection activeCell="M4" sqref="M4"/>
    </sheetView>
  </sheetViews>
  <sheetFormatPr defaultRowHeight="14.25"/>
  <cols>
    <col min="15" max="15" width="13.875" customWidth="1"/>
  </cols>
  <sheetData>
    <row r="1" spans="1:32">
      <c r="A1">
        <v>1</v>
      </c>
      <c r="B1">
        <v>2</v>
      </c>
      <c r="C1">
        <v>3</v>
      </c>
      <c r="Y1" t="s">
        <v>24</v>
      </c>
    </row>
    <row r="2" spans="1:32">
      <c r="A2">
        <v>4</v>
      </c>
      <c r="B2">
        <v>5</v>
      </c>
      <c r="C2">
        <v>6</v>
      </c>
      <c r="O2" s="1" t="s">
        <v>7</v>
      </c>
      <c r="P2" s="1" t="b">
        <f>IF(AND(U2,V2,S2,T2,W2,X2),TRUE,FALSE)</f>
        <v>1</v>
      </c>
      <c r="S2" t="b">
        <f>IF(AND(S6&gt;=S4,S6&lt;=S3),TRUE,FALSE)</f>
        <v>1</v>
      </c>
      <c r="T2" t="b">
        <f>IF(AND(T6&gt;=T4,T6&lt;=T3),TRUE,FALSE)</f>
        <v>1</v>
      </c>
      <c r="U2" t="b">
        <f>IF(AND(U6&gt;=U4,U6&lt;=U3),TRUE,FALSE)</f>
        <v>1</v>
      </c>
      <c r="V2" t="b">
        <f>IF(AND(V6&gt;=V4,V6&lt;=V3),TRUE,FALSE)</f>
        <v>1</v>
      </c>
      <c r="W2" t="b">
        <f>IF(AND(W6&gt;=W4,W6&lt;=W3),TRUE,FALSE)</f>
        <v>1</v>
      </c>
      <c r="X2" t="b">
        <f>IF(AND(X6&gt;=X4,X6&lt;=X3),TRUE,FALSE)</f>
        <v>1</v>
      </c>
      <c r="Y2" t="s">
        <v>25</v>
      </c>
    </row>
    <row r="3" spans="1:32">
      <c r="S3" s="2">
        <v>2</v>
      </c>
      <c r="T3" s="2">
        <v>6</v>
      </c>
      <c r="U3" s="2">
        <v>4</v>
      </c>
      <c r="V3" s="2">
        <v>15</v>
      </c>
      <c r="W3" s="2">
        <v>6</v>
      </c>
      <c r="X3" s="2">
        <v>18</v>
      </c>
      <c r="Y3" s="2" t="s">
        <v>6</v>
      </c>
    </row>
    <row r="4" spans="1:32">
      <c r="S4" s="1">
        <v>2</v>
      </c>
      <c r="T4" s="1">
        <v>2</v>
      </c>
      <c r="U4" s="1">
        <v>4</v>
      </c>
      <c r="V4" s="1">
        <v>5</v>
      </c>
      <c r="W4" s="1">
        <v>2</v>
      </c>
      <c r="X4" s="1">
        <v>6</v>
      </c>
      <c r="Y4" s="1" t="s">
        <v>5</v>
      </c>
    </row>
    <row r="5" spans="1:32" ht="15" thickBot="1">
      <c r="Q5" s="19" t="s">
        <v>27</v>
      </c>
      <c r="R5" s="19"/>
      <c r="S5" s="6">
        <v>2</v>
      </c>
      <c r="T5" s="6">
        <v>4</v>
      </c>
      <c r="U5" s="6">
        <v>4</v>
      </c>
      <c r="V5" s="6">
        <v>10</v>
      </c>
      <c r="W5" s="6">
        <v>4</v>
      </c>
      <c r="X5" s="6">
        <v>12</v>
      </c>
    </row>
    <row r="6" spans="1:32" ht="15" thickBot="1">
      <c r="Q6" s="19" t="s">
        <v>26</v>
      </c>
      <c r="R6" s="19"/>
      <c r="S6" s="20">
        <f>SUM(S8:S81)</f>
        <v>2</v>
      </c>
      <c r="T6" s="21">
        <f t="shared" ref="T6:W6" si="0">SUM(T8:T81)</f>
        <v>3</v>
      </c>
      <c r="U6" s="21">
        <f t="shared" si="0"/>
        <v>4</v>
      </c>
      <c r="V6" s="21">
        <f t="shared" si="0"/>
        <v>14</v>
      </c>
      <c r="W6" s="21">
        <f t="shared" si="0"/>
        <v>5</v>
      </c>
      <c r="X6" s="22">
        <f>SUM(X8:X81)</f>
        <v>8</v>
      </c>
      <c r="Z6" s="3">
        <f>SUM(S6:X6)</f>
        <v>36</v>
      </c>
    </row>
    <row r="7" spans="1:32">
      <c r="D7" t="s">
        <v>3</v>
      </c>
      <c r="E7" s="6" t="s">
        <v>0</v>
      </c>
      <c r="F7" s="6" t="s">
        <v>15</v>
      </c>
      <c r="G7" s="6" t="s">
        <v>1</v>
      </c>
      <c r="H7" s="6" t="s">
        <v>8</v>
      </c>
      <c r="I7" t="s">
        <v>9</v>
      </c>
      <c r="K7" t="s">
        <v>16</v>
      </c>
      <c r="L7" t="s">
        <v>14</v>
      </c>
      <c r="M7" t="s">
        <v>10</v>
      </c>
      <c r="N7" t="s">
        <v>11</v>
      </c>
      <c r="O7" t="s">
        <v>12</v>
      </c>
      <c r="P7" t="s">
        <v>13</v>
      </c>
      <c r="Q7" t="s">
        <v>2</v>
      </c>
      <c r="R7" t="s">
        <v>4</v>
      </c>
      <c r="S7" s="4" t="s">
        <v>17</v>
      </c>
      <c r="T7" s="5" t="s">
        <v>20</v>
      </c>
      <c r="U7" s="4" t="s">
        <v>18</v>
      </c>
      <c r="V7" s="4" t="s">
        <v>19</v>
      </c>
      <c r="W7" t="s">
        <v>21</v>
      </c>
      <c r="X7" s="5" t="s">
        <v>22</v>
      </c>
    </row>
    <row r="8" spans="1:32">
      <c r="D8">
        <f ca="1">RAND()</f>
        <v>0.44477775879845094</v>
      </c>
      <c r="E8" s="6">
        <v>6</v>
      </c>
      <c r="F8" s="6">
        <v>1</v>
      </c>
      <c r="G8" s="6">
        <f t="shared" ref="G8:G43" si="1">IF(K8&lt;&gt;"",K8,IF(L8&lt;&gt;"",L8,IF(M8&lt;&gt;"",M8,IF(N8&lt;&gt;"",N8,IF(O8&lt;&gt;"",O8,P8)))))</f>
        <v>6</v>
      </c>
      <c r="H8" s="6" t="str">
        <f t="shared" ref="H8:H39" si="2">IF(F8="","",IF(OR(AND(F8=2,OR(E8=1,E8=4)),AND(F8=1,OR(E8=3,E8=6))),"far","close"))</f>
        <v>far</v>
      </c>
      <c r="I8" t="str">
        <f>IF(AND(H7="close",H8="close"),1,"")</f>
        <v/>
      </c>
      <c r="K8" t="str">
        <f t="shared" ref="K8:K43" si="3">IF(OR(AND($E7=2,$E8=2),AND($E7=5,$E8=5)),1,"")</f>
        <v/>
      </c>
      <c r="L8" t="str">
        <f t="shared" ref="L8" si="4">IF(K8="",IF(E7=E8,2,""),"")</f>
        <v/>
      </c>
      <c r="M8" t="str">
        <f t="shared" ref="M8" si="5">IF(AND(AND(F7=1,F8=2),OR(AND(E7=1,E8=2),AND(E7=4,E8=5),AND(E7=2,E8=3),AND(E7=5,E8=6))),3,IF(AND(AND(F7=2,F8=1),OR(AND(E7=2,E8=1),AND(E7=5,E8=4),AND(E7=3,E8=2),AND(E7=6,E8=5))),3,""))</f>
        <v/>
      </c>
      <c r="N8" t="str">
        <f t="shared" ref="N8:N43" si="6">IF(AND($K8="",$L8="",$M8="",AND($H8="close",$H7="close")),4,"")</f>
        <v/>
      </c>
      <c r="O8" t="str">
        <f t="shared" ref="O8:O43" si="7">IF(AND($K8="",$L8="",$M8="",AND($H7="far",$H8="far")),5,"")</f>
        <v/>
      </c>
      <c r="P8">
        <f t="shared" ref="P8" si="8">IF(AND($K8="",$L8="",$M8="",N8="",O8=""),6,"")</f>
        <v>6</v>
      </c>
      <c r="Q8">
        <f t="shared" ref="Q8:Q39" si="9">IF(F8=1,1,0)</f>
        <v>1</v>
      </c>
      <c r="R8">
        <f t="shared" ref="R8:R39" si="10">IF(F7&lt;&gt;F8,1,0)</f>
        <v>1</v>
      </c>
      <c r="S8" t="str">
        <f>IF($G8=1,1,"")</f>
        <v/>
      </c>
      <c r="T8" t="str">
        <f t="shared" ref="T8:T39" si="11">IF($G8=2,1,"")</f>
        <v/>
      </c>
      <c r="U8" t="str">
        <f t="shared" ref="U8:U39" si="12">IF($G8=3,1,"")</f>
        <v/>
      </c>
      <c r="V8" t="str">
        <f t="shared" ref="V8:V39" si="13">IF($G8=4,1,"")</f>
        <v/>
      </c>
      <c r="W8" t="str">
        <f>IF($G8=5,1,"")</f>
        <v/>
      </c>
      <c r="X8">
        <f>IF($G8=6,1,"")</f>
        <v>1</v>
      </c>
    </row>
    <row r="9" spans="1:32">
      <c r="D9">
        <f ca="1">RAND()</f>
        <v>0.59248667075932082</v>
      </c>
      <c r="E9" s="6">
        <v>5</v>
      </c>
      <c r="F9" s="6">
        <v>2</v>
      </c>
      <c r="G9" s="6">
        <f t="shared" si="1"/>
        <v>6</v>
      </c>
      <c r="H9" s="6" t="str">
        <f t="shared" si="2"/>
        <v>close</v>
      </c>
      <c r="I9" t="str">
        <f t="shared" ref="I9:I43" si="14">IF(AND(H8="close",H9="close"),1,"")</f>
        <v/>
      </c>
      <c r="K9" t="str">
        <f t="shared" si="3"/>
        <v/>
      </c>
      <c r="L9" t="str">
        <f t="shared" ref="L9:L40" si="15">IF(K9="",IF(E8=E9,2,""),"")</f>
        <v/>
      </c>
      <c r="M9" t="str">
        <f t="shared" ref="M9:M43" si="16">IF(AND(AND(F8=1,F9=2),OR(AND(E8=1,E9=2),AND(E8=4,E9=5),AND(E8=2,E9=3),AND(E8=5,E9=6))),3,IF(AND(AND(F8=2,F9=1),OR(AND(E8=2,E9=1),AND(E8=5,E9=4),AND(E8=3,E9=2),AND(E8=6,E9=5))),3,""))</f>
        <v/>
      </c>
      <c r="N9" t="str">
        <f t="shared" si="6"/>
        <v/>
      </c>
      <c r="O9" t="str">
        <f t="shared" si="7"/>
        <v/>
      </c>
      <c r="P9">
        <f t="shared" ref="P9:P43" si="17">IF(AND($K9="",$L9="",$M9="",N9="",O9=""),6,"")</f>
        <v>6</v>
      </c>
      <c r="Q9">
        <f t="shared" si="9"/>
        <v>0</v>
      </c>
      <c r="R9">
        <f t="shared" si="10"/>
        <v>1</v>
      </c>
      <c r="S9" t="str">
        <f t="shared" ref="S8:S39" si="18">IF($G9=1,1,"")</f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ref="W9:W43" si="19">IF($G9=5,1,"")</f>
        <v/>
      </c>
      <c r="X9">
        <f t="shared" ref="X9:X43" si="20">IF($G9=6,1,"")</f>
        <v>1</v>
      </c>
    </row>
    <row r="10" spans="1:32">
      <c r="D10">
        <f ca="1">RAND()</f>
        <v>0.33129360185551548</v>
      </c>
      <c r="E10" s="6">
        <v>1</v>
      </c>
      <c r="F10" s="6">
        <v>1</v>
      </c>
      <c r="G10" s="6">
        <f t="shared" si="1"/>
        <v>4</v>
      </c>
      <c r="H10" s="6" t="str">
        <f t="shared" si="2"/>
        <v>close</v>
      </c>
      <c r="I10">
        <f t="shared" si="14"/>
        <v>1</v>
      </c>
      <c r="K10" t="str">
        <f t="shared" si="3"/>
        <v/>
      </c>
      <c r="L10" t="str">
        <f t="shared" si="15"/>
        <v/>
      </c>
      <c r="M10" t="str">
        <f t="shared" si="16"/>
        <v/>
      </c>
      <c r="N10">
        <f t="shared" si="6"/>
        <v>4</v>
      </c>
      <c r="O10" t="str">
        <f t="shared" si="7"/>
        <v/>
      </c>
      <c r="P10" t="str">
        <f t="shared" si="17"/>
        <v/>
      </c>
      <c r="Q10">
        <f t="shared" si="9"/>
        <v>1</v>
      </c>
      <c r="R10">
        <f t="shared" si="10"/>
        <v>1</v>
      </c>
      <c r="S10" t="str">
        <f t="shared" si="18"/>
        <v/>
      </c>
      <c r="T10" t="str">
        <f t="shared" si="11"/>
        <v/>
      </c>
      <c r="U10" t="str">
        <f t="shared" si="12"/>
        <v/>
      </c>
      <c r="V10">
        <f t="shared" si="13"/>
        <v>1</v>
      </c>
      <c r="W10" t="str">
        <f t="shared" si="19"/>
        <v/>
      </c>
      <c r="X10" t="str">
        <f t="shared" si="20"/>
        <v/>
      </c>
    </row>
    <row r="11" spans="1:32">
      <c r="D11">
        <f ca="1">RAND()</f>
        <v>0.40238091938596021</v>
      </c>
      <c r="E11" s="6">
        <v>5</v>
      </c>
      <c r="F11" s="6">
        <v>2</v>
      </c>
      <c r="G11" s="6">
        <f t="shared" si="1"/>
        <v>4</v>
      </c>
      <c r="H11" s="6" t="str">
        <f t="shared" si="2"/>
        <v>close</v>
      </c>
      <c r="I11">
        <f>IF(AND(H10="close",H11="close"),1,"")</f>
        <v>1</v>
      </c>
      <c r="K11" t="str">
        <f t="shared" si="3"/>
        <v/>
      </c>
      <c r="L11" t="str">
        <f t="shared" si="15"/>
        <v/>
      </c>
      <c r="M11" t="str">
        <f t="shared" si="16"/>
        <v/>
      </c>
      <c r="N11">
        <f t="shared" si="6"/>
        <v>4</v>
      </c>
      <c r="O11" t="str">
        <f t="shared" si="7"/>
        <v/>
      </c>
      <c r="P11" t="str">
        <f t="shared" si="17"/>
        <v/>
      </c>
      <c r="Q11">
        <f t="shared" si="9"/>
        <v>0</v>
      </c>
      <c r="R11">
        <f t="shared" si="10"/>
        <v>1</v>
      </c>
      <c r="S11" t="str">
        <f t="shared" si="18"/>
        <v/>
      </c>
      <c r="T11" t="str">
        <f t="shared" si="11"/>
        <v/>
      </c>
      <c r="U11" t="str">
        <f t="shared" si="12"/>
        <v/>
      </c>
      <c r="V11">
        <f t="shared" si="13"/>
        <v>1</v>
      </c>
      <c r="W11" t="str">
        <f t="shared" si="19"/>
        <v/>
      </c>
      <c r="X11" t="str">
        <f t="shared" si="20"/>
        <v/>
      </c>
    </row>
    <row r="12" spans="1:32">
      <c r="D12">
        <f ca="1">RAND()</f>
        <v>8.6087679777742565E-2</v>
      </c>
      <c r="E12" s="6">
        <v>1</v>
      </c>
      <c r="F12" s="6">
        <v>1</v>
      </c>
      <c r="G12" s="6">
        <f t="shared" si="1"/>
        <v>4</v>
      </c>
      <c r="H12" s="6" t="str">
        <f t="shared" si="2"/>
        <v>close</v>
      </c>
      <c r="I12">
        <f t="shared" si="14"/>
        <v>1</v>
      </c>
      <c r="K12" t="str">
        <f t="shared" si="3"/>
        <v/>
      </c>
      <c r="L12" t="str">
        <f t="shared" si="15"/>
        <v/>
      </c>
      <c r="M12" t="str">
        <f t="shared" si="16"/>
        <v/>
      </c>
      <c r="N12">
        <f t="shared" si="6"/>
        <v>4</v>
      </c>
      <c r="O12" t="str">
        <f t="shared" si="7"/>
        <v/>
      </c>
      <c r="P12" t="str">
        <f t="shared" si="17"/>
        <v/>
      </c>
      <c r="Q12">
        <f t="shared" si="9"/>
        <v>1</v>
      </c>
      <c r="R12">
        <f t="shared" si="10"/>
        <v>1</v>
      </c>
      <c r="S12" t="str">
        <f t="shared" si="18"/>
        <v/>
      </c>
      <c r="T12" t="str">
        <f t="shared" si="11"/>
        <v/>
      </c>
      <c r="U12" t="str">
        <f t="shared" si="12"/>
        <v/>
      </c>
      <c r="V12">
        <f t="shared" si="13"/>
        <v>1</v>
      </c>
      <c r="W12" t="str">
        <f t="shared" si="19"/>
        <v/>
      </c>
      <c r="X12" t="str">
        <f t="shared" si="20"/>
        <v/>
      </c>
    </row>
    <row r="13" spans="1:32" ht="15" thickBot="1">
      <c r="D13">
        <f ca="1">RAND()</f>
        <v>0.23750701058066337</v>
      </c>
      <c r="E13" s="6">
        <v>3</v>
      </c>
      <c r="F13" s="6">
        <v>2</v>
      </c>
      <c r="G13" s="6">
        <f t="shared" si="1"/>
        <v>4</v>
      </c>
      <c r="H13" s="6" t="str">
        <f t="shared" si="2"/>
        <v>close</v>
      </c>
      <c r="I13">
        <f t="shared" si="14"/>
        <v>1</v>
      </c>
      <c r="K13" t="str">
        <f t="shared" si="3"/>
        <v/>
      </c>
      <c r="L13" t="str">
        <f t="shared" si="15"/>
        <v/>
      </c>
      <c r="M13" t="str">
        <f t="shared" si="16"/>
        <v/>
      </c>
      <c r="N13">
        <f t="shared" si="6"/>
        <v>4</v>
      </c>
      <c r="O13" t="str">
        <f t="shared" si="7"/>
        <v/>
      </c>
      <c r="P13" t="str">
        <f t="shared" si="17"/>
        <v/>
      </c>
      <c r="Q13">
        <f t="shared" si="9"/>
        <v>0</v>
      </c>
      <c r="R13">
        <f t="shared" si="10"/>
        <v>1</v>
      </c>
      <c r="S13" t="str">
        <f t="shared" si="18"/>
        <v/>
      </c>
      <c r="T13" t="str">
        <f t="shared" si="11"/>
        <v/>
      </c>
      <c r="U13" t="str">
        <f t="shared" si="12"/>
        <v/>
      </c>
      <c r="V13">
        <f t="shared" si="13"/>
        <v>1</v>
      </c>
      <c r="W13" t="str">
        <f t="shared" si="19"/>
        <v/>
      </c>
      <c r="X13" t="str">
        <f t="shared" si="20"/>
        <v/>
      </c>
    </row>
    <row r="14" spans="1:32">
      <c r="D14">
        <f ca="1">RAND()</f>
        <v>0.79627194002210588</v>
      </c>
      <c r="E14" s="6">
        <v>2</v>
      </c>
      <c r="F14" s="6">
        <v>1</v>
      </c>
      <c r="G14" s="6">
        <f t="shared" si="1"/>
        <v>3</v>
      </c>
      <c r="H14" s="6" t="str">
        <f t="shared" si="2"/>
        <v>close</v>
      </c>
      <c r="I14">
        <f t="shared" si="14"/>
        <v>1</v>
      </c>
      <c r="K14" t="str">
        <f t="shared" si="3"/>
        <v/>
      </c>
      <c r="L14" t="str">
        <f t="shared" si="15"/>
        <v/>
      </c>
      <c r="M14">
        <f t="shared" si="16"/>
        <v>3</v>
      </c>
      <c r="N14" t="str">
        <f t="shared" si="6"/>
        <v/>
      </c>
      <c r="O14" t="str">
        <f t="shared" si="7"/>
        <v/>
      </c>
      <c r="P14" t="str">
        <f t="shared" si="17"/>
        <v/>
      </c>
      <c r="Q14">
        <f t="shared" si="9"/>
        <v>1</v>
      </c>
      <c r="R14">
        <f t="shared" si="10"/>
        <v>1</v>
      </c>
      <c r="S14" t="str">
        <f t="shared" si="18"/>
        <v/>
      </c>
      <c r="T14" t="str">
        <f t="shared" si="11"/>
        <v/>
      </c>
      <c r="U14">
        <f t="shared" si="12"/>
        <v>1</v>
      </c>
      <c r="V14" t="str">
        <f t="shared" si="13"/>
        <v/>
      </c>
      <c r="W14" t="str">
        <f t="shared" si="19"/>
        <v/>
      </c>
      <c r="X14" t="str">
        <f t="shared" si="20"/>
        <v/>
      </c>
      <c r="AA14" s="23" t="s">
        <v>23</v>
      </c>
      <c r="AB14" s="24"/>
      <c r="AC14" s="24"/>
      <c r="AD14" s="24"/>
      <c r="AE14" s="24"/>
      <c r="AF14" s="25"/>
    </row>
    <row r="15" spans="1:32">
      <c r="D15">
        <f ca="1">RAND()</f>
        <v>0.15245134590341358</v>
      </c>
      <c r="E15" s="6">
        <v>2</v>
      </c>
      <c r="F15" s="6">
        <v>2</v>
      </c>
      <c r="G15" s="6">
        <f t="shared" si="1"/>
        <v>1</v>
      </c>
      <c r="H15" s="6" t="str">
        <f t="shared" si="2"/>
        <v>close</v>
      </c>
      <c r="I15">
        <f t="shared" si="14"/>
        <v>1</v>
      </c>
      <c r="K15">
        <f t="shared" si="3"/>
        <v>1</v>
      </c>
      <c r="L15" t="str">
        <f t="shared" si="15"/>
        <v/>
      </c>
      <c r="M15" t="str">
        <f t="shared" si="16"/>
        <v/>
      </c>
      <c r="N15" t="str">
        <f t="shared" si="6"/>
        <v/>
      </c>
      <c r="O15" t="str">
        <f t="shared" si="7"/>
        <v/>
      </c>
      <c r="P15" t="str">
        <f t="shared" si="17"/>
        <v/>
      </c>
      <c r="Q15">
        <f t="shared" si="9"/>
        <v>0</v>
      </c>
      <c r="R15">
        <f t="shared" si="10"/>
        <v>1</v>
      </c>
      <c r="S15">
        <f t="shared" si="18"/>
        <v>1</v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9"/>
        <v/>
      </c>
      <c r="X15" t="str">
        <f t="shared" si="20"/>
        <v/>
      </c>
      <c r="AA15" s="26"/>
      <c r="AB15" s="27"/>
      <c r="AC15" s="27"/>
      <c r="AD15" s="27"/>
      <c r="AE15" s="27"/>
      <c r="AF15" s="28"/>
    </row>
    <row r="16" spans="1:32">
      <c r="D16">
        <f ca="1">RAND()</f>
        <v>0.53575354958491439</v>
      </c>
      <c r="E16" s="6">
        <v>4</v>
      </c>
      <c r="F16" s="6">
        <v>1</v>
      </c>
      <c r="G16" s="6">
        <f t="shared" si="1"/>
        <v>4</v>
      </c>
      <c r="H16" s="6" t="str">
        <f t="shared" si="2"/>
        <v>close</v>
      </c>
      <c r="I16">
        <f t="shared" si="14"/>
        <v>1</v>
      </c>
      <c r="K16" t="str">
        <f t="shared" si="3"/>
        <v/>
      </c>
      <c r="L16" t="str">
        <f t="shared" si="15"/>
        <v/>
      </c>
      <c r="M16" t="str">
        <f t="shared" si="16"/>
        <v/>
      </c>
      <c r="N16">
        <f t="shared" si="6"/>
        <v>4</v>
      </c>
      <c r="O16" t="str">
        <f t="shared" si="7"/>
        <v/>
      </c>
      <c r="P16" t="str">
        <f t="shared" si="17"/>
        <v/>
      </c>
      <c r="Q16">
        <f t="shared" si="9"/>
        <v>1</v>
      </c>
      <c r="R16">
        <f t="shared" si="10"/>
        <v>1</v>
      </c>
      <c r="S16" t="str">
        <f t="shared" si="18"/>
        <v/>
      </c>
      <c r="T16" t="str">
        <f t="shared" si="11"/>
        <v/>
      </c>
      <c r="U16" t="str">
        <f t="shared" si="12"/>
        <v/>
      </c>
      <c r="V16">
        <f t="shared" si="13"/>
        <v>1</v>
      </c>
      <c r="W16" t="str">
        <f t="shared" si="19"/>
        <v/>
      </c>
      <c r="X16" t="str">
        <f t="shared" si="20"/>
        <v/>
      </c>
      <c r="AA16" s="26"/>
      <c r="AB16" s="27"/>
      <c r="AC16" s="27"/>
      <c r="AD16" s="27"/>
      <c r="AE16" s="27"/>
      <c r="AF16" s="28"/>
    </row>
    <row r="17" spans="4:32" ht="15" thickBot="1">
      <c r="D17">
        <f ca="1">RAND()</f>
        <v>0.5849544408857863</v>
      </c>
      <c r="E17" s="6">
        <v>5</v>
      </c>
      <c r="F17" s="6">
        <v>2</v>
      </c>
      <c r="G17" s="6">
        <f t="shared" si="1"/>
        <v>3</v>
      </c>
      <c r="H17" s="6" t="str">
        <f t="shared" si="2"/>
        <v>close</v>
      </c>
      <c r="I17">
        <f t="shared" si="14"/>
        <v>1</v>
      </c>
      <c r="K17" t="str">
        <f t="shared" si="3"/>
        <v/>
      </c>
      <c r="L17" t="str">
        <f t="shared" si="15"/>
        <v/>
      </c>
      <c r="M17">
        <f t="shared" si="16"/>
        <v>3</v>
      </c>
      <c r="N17" t="str">
        <f t="shared" si="6"/>
        <v/>
      </c>
      <c r="O17" t="str">
        <f t="shared" si="7"/>
        <v/>
      </c>
      <c r="P17" t="str">
        <f t="shared" si="17"/>
        <v/>
      </c>
      <c r="Q17">
        <f t="shared" si="9"/>
        <v>0</v>
      </c>
      <c r="R17">
        <f t="shared" si="10"/>
        <v>1</v>
      </c>
      <c r="S17" t="str">
        <f t="shared" si="18"/>
        <v/>
      </c>
      <c r="T17" t="str">
        <f t="shared" si="11"/>
        <v/>
      </c>
      <c r="U17">
        <f t="shared" si="12"/>
        <v>1</v>
      </c>
      <c r="V17" t="str">
        <f t="shared" si="13"/>
        <v/>
      </c>
      <c r="W17" t="str">
        <f t="shared" si="19"/>
        <v/>
      </c>
      <c r="X17" t="str">
        <f t="shared" si="20"/>
        <v/>
      </c>
      <c r="Z17" t="s">
        <v>30</v>
      </c>
      <c r="AA17" s="29" t="s">
        <v>17</v>
      </c>
      <c r="AB17" s="30" t="s">
        <v>20</v>
      </c>
      <c r="AC17" s="31" t="s">
        <v>18</v>
      </c>
      <c r="AD17" s="31" t="s">
        <v>19</v>
      </c>
      <c r="AE17" s="32" t="s">
        <v>21</v>
      </c>
      <c r="AF17" s="33" t="s">
        <v>22</v>
      </c>
    </row>
    <row r="18" spans="4:32">
      <c r="D18">
        <f ca="1">RAND()</f>
        <v>0.44807227547170325</v>
      </c>
      <c r="E18" s="6">
        <v>2</v>
      </c>
      <c r="F18" s="6">
        <v>1</v>
      </c>
      <c r="G18" s="6">
        <f t="shared" si="1"/>
        <v>4</v>
      </c>
      <c r="H18" s="6" t="str">
        <f t="shared" si="2"/>
        <v>close</v>
      </c>
      <c r="I18">
        <f t="shared" si="14"/>
        <v>1</v>
      </c>
      <c r="K18" t="str">
        <f t="shared" si="3"/>
        <v/>
      </c>
      <c r="L18" t="str">
        <f t="shared" si="15"/>
        <v/>
      </c>
      <c r="M18" t="str">
        <f t="shared" si="16"/>
        <v/>
      </c>
      <c r="N18">
        <f t="shared" si="6"/>
        <v>4</v>
      </c>
      <c r="O18" t="str">
        <f t="shared" si="7"/>
        <v/>
      </c>
      <c r="P18" t="str">
        <f t="shared" si="17"/>
        <v/>
      </c>
      <c r="Q18">
        <f t="shared" si="9"/>
        <v>1</v>
      </c>
      <c r="R18">
        <f t="shared" si="10"/>
        <v>1</v>
      </c>
      <c r="S18" t="str">
        <f t="shared" si="18"/>
        <v/>
      </c>
      <c r="T18" t="str">
        <f t="shared" si="11"/>
        <v/>
      </c>
      <c r="U18" t="str">
        <f t="shared" si="12"/>
        <v/>
      </c>
      <c r="V18">
        <f t="shared" si="13"/>
        <v>1</v>
      </c>
      <c r="W18" t="str">
        <f t="shared" si="19"/>
        <v/>
      </c>
      <c r="X18" t="str">
        <f t="shared" si="20"/>
        <v/>
      </c>
      <c r="Z18" t="s">
        <v>28</v>
      </c>
      <c r="AA18" s="34">
        <f>SUM(AA20:AA83)</f>
        <v>2</v>
      </c>
      <c r="AB18" s="14">
        <f t="shared" ref="AB18:AF18" si="21">SUM(AB20:AB83)</f>
        <v>3</v>
      </c>
      <c r="AC18" s="14">
        <f>SUM(AC20:AC83)</f>
        <v>4</v>
      </c>
      <c r="AD18" s="14">
        <f t="shared" si="21"/>
        <v>14</v>
      </c>
      <c r="AE18" s="14">
        <f t="shared" si="21"/>
        <v>5</v>
      </c>
      <c r="AF18" s="35">
        <f t="shared" si="21"/>
        <v>8</v>
      </c>
    </row>
    <row r="19" spans="4:32" ht="15" thickBot="1">
      <c r="D19">
        <f ca="1">RAND()</f>
        <v>6.4823112416863005E-2</v>
      </c>
      <c r="E19" s="6">
        <v>5</v>
      </c>
      <c r="F19" s="6">
        <v>2</v>
      </c>
      <c r="G19" s="6">
        <f t="shared" si="1"/>
        <v>4</v>
      </c>
      <c r="H19" s="6" t="str">
        <f t="shared" si="2"/>
        <v>close</v>
      </c>
      <c r="I19">
        <f t="shared" si="14"/>
        <v>1</v>
      </c>
      <c r="K19" t="str">
        <f t="shared" si="3"/>
        <v/>
      </c>
      <c r="L19" t="str">
        <f t="shared" si="15"/>
        <v/>
      </c>
      <c r="M19" t="str">
        <f t="shared" si="16"/>
        <v/>
      </c>
      <c r="N19">
        <f t="shared" si="6"/>
        <v>4</v>
      </c>
      <c r="O19" t="str">
        <f t="shared" si="7"/>
        <v/>
      </c>
      <c r="P19" t="str">
        <f t="shared" si="17"/>
        <v/>
      </c>
      <c r="Q19">
        <f t="shared" si="9"/>
        <v>0</v>
      </c>
      <c r="R19">
        <f t="shared" si="10"/>
        <v>1</v>
      </c>
      <c r="S19" t="str">
        <f t="shared" si="18"/>
        <v/>
      </c>
      <c r="T19" t="str">
        <f t="shared" si="11"/>
        <v/>
      </c>
      <c r="U19" t="str">
        <f t="shared" si="12"/>
        <v/>
      </c>
      <c r="V19">
        <f t="shared" si="13"/>
        <v>1</v>
      </c>
      <c r="W19" t="str">
        <f t="shared" si="19"/>
        <v/>
      </c>
      <c r="X19" t="str">
        <f t="shared" si="20"/>
        <v/>
      </c>
      <c r="Z19" t="s">
        <v>29</v>
      </c>
      <c r="AA19" s="36">
        <f>AVERAGE(AA20:AA83)</f>
        <v>2</v>
      </c>
      <c r="AB19" s="37">
        <f t="shared" ref="AB19:AF19" si="22">AVERAGE(AB20:AB83)</f>
        <v>3</v>
      </c>
      <c r="AC19" s="37">
        <f t="shared" si="22"/>
        <v>4</v>
      </c>
      <c r="AD19" s="37">
        <f>AVERAGE(AD20:AD83)</f>
        <v>14</v>
      </c>
      <c r="AE19" s="37">
        <f t="shared" si="22"/>
        <v>5</v>
      </c>
      <c r="AF19" s="38">
        <f t="shared" si="22"/>
        <v>8</v>
      </c>
    </row>
    <row r="20" spans="4:32">
      <c r="D20">
        <f ca="1">RAND()</f>
        <v>0.59218267926320989</v>
      </c>
      <c r="E20" s="6">
        <v>4</v>
      </c>
      <c r="F20" s="6">
        <v>1</v>
      </c>
      <c r="G20" s="6">
        <f t="shared" si="1"/>
        <v>3</v>
      </c>
      <c r="H20" s="6" t="str">
        <f t="shared" si="2"/>
        <v>close</v>
      </c>
      <c r="I20">
        <f t="shared" si="14"/>
        <v>1</v>
      </c>
      <c r="K20" t="str">
        <f t="shared" si="3"/>
        <v/>
      </c>
      <c r="L20" t="str">
        <f t="shared" si="15"/>
        <v/>
      </c>
      <c r="M20">
        <f t="shared" si="16"/>
        <v>3</v>
      </c>
      <c r="N20" t="str">
        <f t="shared" si="6"/>
        <v/>
      </c>
      <c r="O20" t="str">
        <f t="shared" si="7"/>
        <v/>
      </c>
      <c r="P20" t="str">
        <f t="shared" si="17"/>
        <v/>
      </c>
      <c r="Q20">
        <f t="shared" si="9"/>
        <v>1</v>
      </c>
      <c r="R20">
        <f t="shared" si="10"/>
        <v>1</v>
      </c>
      <c r="S20" t="str">
        <f t="shared" si="18"/>
        <v/>
      </c>
      <c r="T20" t="str">
        <f t="shared" si="11"/>
        <v/>
      </c>
      <c r="U20">
        <f t="shared" si="12"/>
        <v>1</v>
      </c>
      <c r="V20" t="str">
        <f t="shared" si="13"/>
        <v/>
      </c>
      <c r="W20" t="str">
        <f t="shared" si="19"/>
        <v/>
      </c>
      <c r="X20" t="str">
        <f t="shared" si="20"/>
        <v/>
      </c>
      <c r="Z20">
        <v>1</v>
      </c>
      <c r="AA20" s="13">
        <v>2</v>
      </c>
      <c r="AB20" s="14">
        <v>3</v>
      </c>
      <c r="AC20" s="14">
        <v>4</v>
      </c>
      <c r="AD20" s="14">
        <v>14</v>
      </c>
      <c r="AE20" s="14">
        <v>5</v>
      </c>
      <c r="AF20" s="15">
        <v>8</v>
      </c>
    </row>
    <row r="21" spans="4:32">
      <c r="D21">
        <f ca="1">RAND()</f>
        <v>0.85797973036871156</v>
      </c>
      <c r="E21" s="6">
        <v>3</v>
      </c>
      <c r="F21" s="6">
        <v>2</v>
      </c>
      <c r="G21" s="6">
        <f t="shared" si="1"/>
        <v>4</v>
      </c>
      <c r="H21" s="6" t="str">
        <f t="shared" si="2"/>
        <v>close</v>
      </c>
      <c r="I21">
        <f t="shared" si="14"/>
        <v>1</v>
      </c>
      <c r="K21" t="str">
        <f t="shared" si="3"/>
        <v/>
      </c>
      <c r="L21" t="str">
        <f t="shared" si="15"/>
        <v/>
      </c>
      <c r="M21" t="str">
        <f t="shared" si="16"/>
        <v/>
      </c>
      <c r="N21">
        <f t="shared" si="6"/>
        <v>4</v>
      </c>
      <c r="O21" t="str">
        <f t="shared" si="7"/>
        <v/>
      </c>
      <c r="P21" t="str">
        <f t="shared" si="17"/>
        <v/>
      </c>
      <c r="Q21">
        <f t="shared" si="9"/>
        <v>0</v>
      </c>
      <c r="R21">
        <f t="shared" si="10"/>
        <v>1</v>
      </c>
      <c r="S21" t="str">
        <f t="shared" si="18"/>
        <v/>
      </c>
      <c r="T21" t="str">
        <f t="shared" si="11"/>
        <v/>
      </c>
      <c r="U21" t="str">
        <f t="shared" si="12"/>
        <v/>
      </c>
      <c r="V21">
        <f t="shared" si="13"/>
        <v>1</v>
      </c>
      <c r="W21" t="str">
        <f t="shared" si="19"/>
        <v/>
      </c>
      <c r="X21" t="str">
        <f t="shared" si="20"/>
        <v/>
      </c>
      <c r="Z21">
        <f>Z20+1</f>
        <v>2</v>
      </c>
      <c r="AA21" s="10"/>
      <c r="AB21" s="11"/>
      <c r="AC21" s="11"/>
      <c r="AD21" s="11"/>
      <c r="AE21" s="11"/>
      <c r="AF21" s="12"/>
    </row>
    <row r="22" spans="4:32">
      <c r="D22">
        <f ca="1">RAND()</f>
        <v>0.46699698666494083</v>
      </c>
      <c r="E22" s="6">
        <v>5</v>
      </c>
      <c r="F22" s="6">
        <v>1</v>
      </c>
      <c r="G22" s="6">
        <f t="shared" si="1"/>
        <v>4</v>
      </c>
      <c r="H22" s="6" t="str">
        <f t="shared" si="2"/>
        <v>close</v>
      </c>
      <c r="I22">
        <f t="shared" si="14"/>
        <v>1</v>
      </c>
      <c r="K22" t="str">
        <f t="shared" si="3"/>
        <v/>
      </c>
      <c r="L22" t="str">
        <f t="shared" si="15"/>
        <v/>
      </c>
      <c r="M22" t="str">
        <f t="shared" si="16"/>
        <v/>
      </c>
      <c r="N22">
        <f t="shared" si="6"/>
        <v>4</v>
      </c>
      <c r="O22" t="str">
        <f t="shared" si="7"/>
        <v/>
      </c>
      <c r="P22" t="str">
        <f t="shared" si="17"/>
        <v/>
      </c>
      <c r="Q22">
        <f t="shared" si="9"/>
        <v>1</v>
      </c>
      <c r="R22">
        <f t="shared" si="10"/>
        <v>1</v>
      </c>
      <c r="S22" t="str">
        <f t="shared" si="18"/>
        <v/>
      </c>
      <c r="T22" t="str">
        <f t="shared" si="11"/>
        <v/>
      </c>
      <c r="U22" t="str">
        <f t="shared" si="12"/>
        <v/>
      </c>
      <c r="V22">
        <f t="shared" si="13"/>
        <v>1</v>
      </c>
      <c r="W22" t="str">
        <f t="shared" si="19"/>
        <v/>
      </c>
      <c r="X22" t="str">
        <f t="shared" si="20"/>
        <v/>
      </c>
      <c r="Z22">
        <f t="shared" ref="Z22:Z83" si="23">Z21+1</f>
        <v>3</v>
      </c>
      <c r="AA22" s="13"/>
      <c r="AB22" s="14"/>
      <c r="AC22" s="14"/>
      <c r="AD22" s="14"/>
      <c r="AE22" s="14"/>
      <c r="AF22" s="15"/>
    </row>
    <row r="23" spans="4:32">
      <c r="D23">
        <f ca="1">RAND()</f>
        <v>0.64212178769517303</v>
      </c>
      <c r="E23" s="6">
        <v>3</v>
      </c>
      <c r="F23" s="6">
        <v>2</v>
      </c>
      <c r="G23" s="6">
        <f t="shared" si="1"/>
        <v>4</v>
      </c>
      <c r="H23" s="6" t="str">
        <f t="shared" si="2"/>
        <v>close</v>
      </c>
      <c r="I23">
        <f t="shared" si="14"/>
        <v>1</v>
      </c>
      <c r="K23" t="str">
        <f t="shared" si="3"/>
        <v/>
      </c>
      <c r="L23" t="str">
        <f t="shared" si="15"/>
        <v/>
      </c>
      <c r="M23" t="str">
        <f t="shared" si="16"/>
        <v/>
      </c>
      <c r="N23">
        <f t="shared" si="6"/>
        <v>4</v>
      </c>
      <c r="O23" t="str">
        <f t="shared" si="7"/>
        <v/>
      </c>
      <c r="P23" t="str">
        <f t="shared" si="17"/>
        <v/>
      </c>
      <c r="Q23">
        <f t="shared" si="9"/>
        <v>0</v>
      </c>
      <c r="R23">
        <f t="shared" si="10"/>
        <v>1</v>
      </c>
      <c r="S23" t="str">
        <f t="shared" si="18"/>
        <v/>
      </c>
      <c r="T23" t="str">
        <f t="shared" si="11"/>
        <v/>
      </c>
      <c r="U23" t="str">
        <f t="shared" si="12"/>
        <v/>
      </c>
      <c r="V23">
        <f t="shared" si="13"/>
        <v>1</v>
      </c>
      <c r="W23" t="str">
        <f t="shared" si="19"/>
        <v/>
      </c>
      <c r="X23" t="str">
        <f t="shared" si="20"/>
        <v/>
      </c>
      <c r="Z23">
        <f t="shared" si="23"/>
        <v>4</v>
      </c>
      <c r="AA23" s="3"/>
      <c r="AB23" s="3"/>
      <c r="AC23" s="3"/>
      <c r="AD23" s="3"/>
      <c r="AE23" s="3"/>
      <c r="AF23" s="3"/>
    </row>
    <row r="24" spans="4:32">
      <c r="D24">
        <f ca="1">RAND()</f>
        <v>0.44566984664352205</v>
      </c>
      <c r="E24" s="6">
        <v>4</v>
      </c>
      <c r="F24" s="6">
        <v>1</v>
      </c>
      <c r="G24" s="6">
        <f t="shared" si="1"/>
        <v>4</v>
      </c>
      <c r="H24" s="6" t="str">
        <f t="shared" si="2"/>
        <v>close</v>
      </c>
      <c r="I24">
        <f t="shared" si="14"/>
        <v>1</v>
      </c>
      <c r="K24" t="str">
        <f t="shared" si="3"/>
        <v/>
      </c>
      <c r="L24" t="str">
        <f t="shared" si="15"/>
        <v/>
      </c>
      <c r="M24" t="str">
        <f t="shared" si="16"/>
        <v/>
      </c>
      <c r="N24">
        <f t="shared" si="6"/>
        <v>4</v>
      </c>
      <c r="O24" t="str">
        <f t="shared" si="7"/>
        <v/>
      </c>
      <c r="P24" t="str">
        <f t="shared" si="17"/>
        <v/>
      </c>
      <c r="Q24">
        <f t="shared" si="9"/>
        <v>1</v>
      </c>
      <c r="R24">
        <f t="shared" si="10"/>
        <v>1</v>
      </c>
      <c r="S24" t="str">
        <f t="shared" si="18"/>
        <v/>
      </c>
      <c r="T24" t="str">
        <f t="shared" si="11"/>
        <v/>
      </c>
      <c r="U24" t="str">
        <f t="shared" si="12"/>
        <v/>
      </c>
      <c r="V24">
        <f t="shared" si="13"/>
        <v>1</v>
      </c>
      <c r="W24" t="str">
        <f t="shared" si="19"/>
        <v/>
      </c>
      <c r="X24" t="str">
        <f t="shared" si="20"/>
        <v/>
      </c>
      <c r="Z24">
        <f t="shared" si="23"/>
        <v>5</v>
      </c>
      <c r="AA24" s="13"/>
      <c r="AB24" s="14"/>
      <c r="AC24" s="14"/>
      <c r="AD24" s="14"/>
      <c r="AE24" s="14"/>
      <c r="AF24" s="15"/>
    </row>
    <row r="25" spans="4:32">
      <c r="D25">
        <f ca="1">RAND()</f>
        <v>0.56324807766999374</v>
      </c>
      <c r="E25" s="6">
        <v>5</v>
      </c>
      <c r="F25" s="6">
        <v>2</v>
      </c>
      <c r="G25" s="6">
        <f t="shared" si="1"/>
        <v>3</v>
      </c>
      <c r="H25" s="6" t="str">
        <f t="shared" si="2"/>
        <v>close</v>
      </c>
      <c r="I25">
        <f t="shared" si="14"/>
        <v>1</v>
      </c>
      <c r="K25" t="str">
        <f t="shared" si="3"/>
        <v/>
      </c>
      <c r="L25" t="str">
        <f t="shared" si="15"/>
        <v/>
      </c>
      <c r="M25">
        <f t="shared" si="16"/>
        <v>3</v>
      </c>
      <c r="N25" t="str">
        <f t="shared" si="6"/>
        <v/>
      </c>
      <c r="O25" t="str">
        <f t="shared" si="7"/>
        <v/>
      </c>
      <c r="P25" t="str">
        <f t="shared" si="17"/>
        <v/>
      </c>
      <c r="Q25">
        <f t="shared" si="9"/>
        <v>0</v>
      </c>
      <c r="R25">
        <f t="shared" si="10"/>
        <v>1</v>
      </c>
      <c r="S25" t="str">
        <f t="shared" si="18"/>
        <v/>
      </c>
      <c r="T25" t="str">
        <f t="shared" si="11"/>
        <v/>
      </c>
      <c r="U25">
        <f t="shared" si="12"/>
        <v>1</v>
      </c>
      <c r="V25" t="str">
        <f t="shared" si="13"/>
        <v/>
      </c>
      <c r="W25" t="str">
        <f t="shared" si="19"/>
        <v/>
      </c>
      <c r="X25" t="str">
        <f t="shared" si="20"/>
        <v/>
      </c>
      <c r="Z25">
        <f t="shared" si="23"/>
        <v>6</v>
      </c>
      <c r="AA25" s="10"/>
      <c r="AB25" s="11"/>
      <c r="AC25" s="11"/>
      <c r="AD25" s="11"/>
      <c r="AE25" s="11"/>
      <c r="AF25" s="12"/>
    </row>
    <row r="26" spans="4:32">
      <c r="D26">
        <f ca="1">RAND()</f>
        <v>0.79118762172290125</v>
      </c>
      <c r="E26" s="6">
        <v>1</v>
      </c>
      <c r="F26" s="6">
        <v>1</v>
      </c>
      <c r="G26" s="6">
        <f t="shared" si="1"/>
        <v>4</v>
      </c>
      <c r="H26" s="6" t="str">
        <f t="shared" si="2"/>
        <v>close</v>
      </c>
      <c r="I26">
        <f t="shared" si="14"/>
        <v>1</v>
      </c>
      <c r="K26" t="str">
        <f t="shared" si="3"/>
        <v/>
      </c>
      <c r="L26" t="str">
        <f t="shared" si="15"/>
        <v/>
      </c>
      <c r="M26" t="str">
        <f t="shared" si="16"/>
        <v/>
      </c>
      <c r="N26">
        <f t="shared" si="6"/>
        <v>4</v>
      </c>
      <c r="O26" t="str">
        <f t="shared" si="7"/>
        <v/>
      </c>
      <c r="P26" t="str">
        <f t="shared" si="17"/>
        <v/>
      </c>
      <c r="Q26">
        <f t="shared" si="9"/>
        <v>1</v>
      </c>
      <c r="R26">
        <f t="shared" si="10"/>
        <v>1</v>
      </c>
      <c r="S26" t="str">
        <f t="shared" si="18"/>
        <v/>
      </c>
      <c r="T26" t="str">
        <f t="shared" si="11"/>
        <v/>
      </c>
      <c r="U26" t="str">
        <f t="shared" si="12"/>
        <v/>
      </c>
      <c r="V26">
        <f t="shared" si="13"/>
        <v>1</v>
      </c>
      <c r="W26" t="str">
        <f t="shared" si="19"/>
        <v/>
      </c>
      <c r="X26" t="str">
        <f t="shared" si="20"/>
        <v/>
      </c>
      <c r="Z26">
        <f t="shared" si="23"/>
        <v>7</v>
      </c>
      <c r="AA26" s="13"/>
      <c r="AB26" s="14"/>
      <c r="AC26" s="14"/>
      <c r="AD26" s="14"/>
      <c r="AE26" s="14"/>
      <c r="AF26" s="15"/>
    </row>
    <row r="27" spans="4:32">
      <c r="D27">
        <f ca="1">RAND()</f>
        <v>0.57104921021467869</v>
      </c>
      <c r="E27" s="6">
        <v>1</v>
      </c>
      <c r="F27" s="6">
        <v>2</v>
      </c>
      <c r="G27" s="6">
        <f t="shared" si="1"/>
        <v>2</v>
      </c>
      <c r="H27" s="6" t="str">
        <f t="shared" si="2"/>
        <v>far</v>
      </c>
      <c r="I27" t="str">
        <f t="shared" si="14"/>
        <v/>
      </c>
      <c r="K27" t="str">
        <f t="shared" si="3"/>
        <v/>
      </c>
      <c r="L27">
        <f t="shared" si="15"/>
        <v>2</v>
      </c>
      <c r="M27" t="str">
        <f t="shared" si="16"/>
        <v/>
      </c>
      <c r="N27" t="str">
        <f t="shared" si="6"/>
        <v/>
      </c>
      <c r="O27" t="str">
        <f t="shared" si="7"/>
        <v/>
      </c>
      <c r="P27" t="str">
        <f t="shared" si="17"/>
        <v/>
      </c>
      <c r="Q27">
        <f t="shared" si="9"/>
        <v>0</v>
      </c>
      <c r="R27">
        <f t="shared" si="10"/>
        <v>1</v>
      </c>
      <c r="S27" t="str">
        <f t="shared" si="18"/>
        <v/>
      </c>
      <c r="T27">
        <f t="shared" si="11"/>
        <v>1</v>
      </c>
      <c r="U27" t="str">
        <f t="shared" si="12"/>
        <v/>
      </c>
      <c r="V27" t="str">
        <f t="shared" si="13"/>
        <v/>
      </c>
      <c r="W27" t="str">
        <f t="shared" si="19"/>
        <v/>
      </c>
      <c r="X27" t="str">
        <f t="shared" si="20"/>
        <v/>
      </c>
      <c r="Z27">
        <f t="shared" si="23"/>
        <v>8</v>
      </c>
      <c r="AA27" s="10"/>
      <c r="AB27" s="11"/>
      <c r="AC27" s="11"/>
      <c r="AD27" s="11"/>
      <c r="AE27" s="11"/>
      <c r="AF27" s="12"/>
    </row>
    <row r="28" spans="4:32">
      <c r="D28">
        <f ca="1">RAND()</f>
        <v>0.1334862820956797</v>
      </c>
      <c r="E28" s="6">
        <v>3</v>
      </c>
      <c r="F28" s="6">
        <v>1</v>
      </c>
      <c r="G28" s="6">
        <f t="shared" si="1"/>
        <v>5</v>
      </c>
      <c r="H28" s="6" t="str">
        <f t="shared" si="2"/>
        <v>far</v>
      </c>
      <c r="I28" t="str">
        <f t="shared" si="14"/>
        <v/>
      </c>
      <c r="K28" t="str">
        <f t="shared" si="3"/>
        <v/>
      </c>
      <c r="L28" t="str">
        <f t="shared" si="15"/>
        <v/>
      </c>
      <c r="M28" t="str">
        <f t="shared" si="16"/>
        <v/>
      </c>
      <c r="N28" t="str">
        <f t="shared" si="6"/>
        <v/>
      </c>
      <c r="O28">
        <f t="shared" si="7"/>
        <v>5</v>
      </c>
      <c r="P28" t="str">
        <f t="shared" si="17"/>
        <v/>
      </c>
      <c r="Q28">
        <f t="shared" si="9"/>
        <v>1</v>
      </c>
      <c r="R28">
        <f t="shared" si="10"/>
        <v>1</v>
      </c>
      <c r="S28" t="str">
        <f t="shared" si="18"/>
        <v/>
      </c>
      <c r="T28" t="str">
        <f t="shared" si="11"/>
        <v/>
      </c>
      <c r="U28" t="str">
        <f t="shared" si="12"/>
        <v/>
      </c>
      <c r="V28" t="str">
        <f t="shared" si="13"/>
        <v/>
      </c>
      <c r="W28">
        <f t="shared" si="19"/>
        <v>1</v>
      </c>
      <c r="X28" t="str">
        <f t="shared" si="20"/>
        <v/>
      </c>
      <c r="Z28">
        <f t="shared" si="23"/>
        <v>9</v>
      </c>
      <c r="AA28" s="13"/>
      <c r="AB28" s="14"/>
      <c r="AC28" s="14"/>
      <c r="AD28" s="14"/>
      <c r="AE28" s="14"/>
      <c r="AF28" s="15"/>
    </row>
    <row r="29" spans="4:32">
      <c r="D29">
        <f ca="1">RAND()</f>
        <v>0.27526958912693544</v>
      </c>
      <c r="E29" s="6">
        <v>4</v>
      </c>
      <c r="F29" s="6">
        <v>2</v>
      </c>
      <c r="G29" s="6">
        <f t="shared" si="1"/>
        <v>5</v>
      </c>
      <c r="H29" s="6" t="str">
        <f t="shared" si="2"/>
        <v>far</v>
      </c>
      <c r="I29" t="str">
        <f t="shared" si="14"/>
        <v/>
      </c>
      <c r="K29" t="str">
        <f t="shared" si="3"/>
        <v/>
      </c>
      <c r="L29" t="str">
        <f t="shared" si="15"/>
        <v/>
      </c>
      <c r="M29" t="str">
        <f t="shared" si="16"/>
        <v/>
      </c>
      <c r="N29" t="str">
        <f t="shared" si="6"/>
        <v/>
      </c>
      <c r="O29">
        <f t="shared" si="7"/>
        <v>5</v>
      </c>
      <c r="P29" t="str">
        <f t="shared" si="17"/>
        <v/>
      </c>
      <c r="Q29">
        <f t="shared" si="9"/>
        <v>0</v>
      </c>
      <c r="R29">
        <f t="shared" si="10"/>
        <v>1</v>
      </c>
      <c r="S29" t="str">
        <f t="shared" si="18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>
        <f t="shared" si="19"/>
        <v>1</v>
      </c>
      <c r="X29" t="str">
        <f t="shared" si="20"/>
        <v/>
      </c>
      <c r="Z29">
        <f t="shared" si="23"/>
        <v>10</v>
      </c>
      <c r="AA29" s="10"/>
      <c r="AB29" s="11"/>
      <c r="AC29" s="11"/>
      <c r="AD29" s="11"/>
      <c r="AE29" s="11"/>
      <c r="AF29" s="12"/>
    </row>
    <row r="30" spans="4:32">
      <c r="D30">
        <f ca="1">RAND()</f>
        <v>0.18601081639375217</v>
      </c>
      <c r="E30" s="6">
        <v>6</v>
      </c>
      <c r="F30" s="6">
        <v>1</v>
      </c>
      <c r="G30" s="6">
        <f t="shared" si="1"/>
        <v>5</v>
      </c>
      <c r="H30" s="6" t="str">
        <f t="shared" si="2"/>
        <v>far</v>
      </c>
      <c r="I30" t="str">
        <f t="shared" si="14"/>
        <v/>
      </c>
      <c r="K30" t="str">
        <f t="shared" si="3"/>
        <v/>
      </c>
      <c r="L30" t="str">
        <f t="shared" si="15"/>
        <v/>
      </c>
      <c r="M30" t="str">
        <f t="shared" si="16"/>
        <v/>
      </c>
      <c r="N30" t="str">
        <f t="shared" si="6"/>
        <v/>
      </c>
      <c r="O30">
        <f t="shared" si="7"/>
        <v>5</v>
      </c>
      <c r="P30" t="str">
        <f t="shared" si="17"/>
        <v/>
      </c>
      <c r="Q30">
        <f t="shared" si="9"/>
        <v>1</v>
      </c>
      <c r="R30">
        <f t="shared" si="10"/>
        <v>1</v>
      </c>
      <c r="S30" t="str">
        <f t="shared" si="18"/>
        <v/>
      </c>
      <c r="T30" t="str">
        <f t="shared" si="11"/>
        <v/>
      </c>
      <c r="U30" t="str">
        <f t="shared" si="12"/>
        <v/>
      </c>
      <c r="V30" t="str">
        <f t="shared" si="13"/>
        <v/>
      </c>
      <c r="W30">
        <f t="shared" si="19"/>
        <v>1</v>
      </c>
      <c r="X30" t="str">
        <f t="shared" si="20"/>
        <v/>
      </c>
      <c r="Z30">
        <f t="shared" si="23"/>
        <v>11</v>
      </c>
      <c r="AA30" s="13"/>
      <c r="AB30" s="14"/>
      <c r="AC30" s="14"/>
      <c r="AD30" s="14"/>
      <c r="AE30" s="14"/>
      <c r="AF30" s="15"/>
    </row>
    <row r="31" spans="4:32">
      <c r="D31">
        <f ca="1">RAND()</f>
        <v>0.77371184457471287</v>
      </c>
      <c r="E31" s="6">
        <v>1</v>
      </c>
      <c r="F31" s="6">
        <v>2</v>
      </c>
      <c r="G31" s="6">
        <f t="shared" si="1"/>
        <v>5</v>
      </c>
      <c r="H31" s="6" t="str">
        <f t="shared" si="2"/>
        <v>far</v>
      </c>
      <c r="I31" t="str">
        <f t="shared" si="14"/>
        <v/>
      </c>
      <c r="K31" t="str">
        <f t="shared" si="3"/>
        <v/>
      </c>
      <c r="L31" t="str">
        <f t="shared" si="15"/>
        <v/>
      </c>
      <c r="M31" t="str">
        <f t="shared" si="16"/>
        <v/>
      </c>
      <c r="N31" t="str">
        <f t="shared" si="6"/>
        <v/>
      </c>
      <c r="O31">
        <f t="shared" si="7"/>
        <v>5</v>
      </c>
      <c r="P31" t="str">
        <f t="shared" si="17"/>
        <v/>
      </c>
      <c r="Q31">
        <f t="shared" si="9"/>
        <v>0</v>
      </c>
      <c r="R31">
        <f t="shared" si="10"/>
        <v>1</v>
      </c>
      <c r="S31" t="str">
        <f t="shared" si="18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>
        <f t="shared" si="19"/>
        <v>1</v>
      </c>
      <c r="X31" t="str">
        <f t="shared" si="20"/>
        <v/>
      </c>
      <c r="Z31">
        <f t="shared" si="23"/>
        <v>12</v>
      </c>
      <c r="AA31" s="10"/>
      <c r="AB31" s="11"/>
      <c r="AC31" s="11"/>
      <c r="AD31" s="11"/>
      <c r="AE31" s="11"/>
      <c r="AF31" s="12"/>
    </row>
    <row r="32" spans="4:32">
      <c r="D32">
        <f ca="1">RAND()</f>
        <v>0.63963394750312474</v>
      </c>
      <c r="E32" s="6">
        <v>2</v>
      </c>
      <c r="F32" s="6">
        <v>1</v>
      </c>
      <c r="G32" s="6">
        <f t="shared" si="1"/>
        <v>6</v>
      </c>
      <c r="H32" s="6" t="str">
        <f t="shared" si="2"/>
        <v>close</v>
      </c>
      <c r="I32" t="str">
        <f t="shared" si="14"/>
        <v/>
      </c>
      <c r="K32" t="str">
        <f t="shared" si="3"/>
        <v/>
      </c>
      <c r="L32" t="str">
        <f t="shared" si="15"/>
        <v/>
      </c>
      <c r="M32" t="str">
        <f t="shared" si="16"/>
        <v/>
      </c>
      <c r="N32" t="str">
        <f t="shared" si="6"/>
        <v/>
      </c>
      <c r="O32" t="str">
        <f t="shared" si="7"/>
        <v/>
      </c>
      <c r="P32">
        <f t="shared" si="17"/>
        <v>6</v>
      </c>
      <c r="Q32">
        <f t="shared" si="9"/>
        <v>1</v>
      </c>
      <c r="R32">
        <f t="shared" si="10"/>
        <v>1</v>
      </c>
      <c r="S32" t="str">
        <f t="shared" si="18"/>
        <v/>
      </c>
      <c r="T32" t="str">
        <f t="shared" si="11"/>
        <v/>
      </c>
      <c r="U32" t="str">
        <f t="shared" si="12"/>
        <v/>
      </c>
      <c r="V32" t="str">
        <f t="shared" si="13"/>
        <v/>
      </c>
      <c r="W32" t="str">
        <f t="shared" si="19"/>
        <v/>
      </c>
      <c r="X32">
        <f t="shared" si="20"/>
        <v>1</v>
      </c>
      <c r="Z32">
        <f t="shared" si="23"/>
        <v>13</v>
      </c>
      <c r="AA32" s="13"/>
      <c r="AB32" s="14"/>
      <c r="AC32" s="14"/>
      <c r="AD32" s="14"/>
      <c r="AE32" s="14"/>
      <c r="AF32" s="15"/>
    </row>
    <row r="33" spans="4:32">
      <c r="D33">
        <f ca="1">RAND()</f>
        <v>0.22281087262646038</v>
      </c>
      <c r="E33" s="6">
        <v>6</v>
      </c>
      <c r="F33" s="6">
        <v>2</v>
      </c>
      <c r="G33" s="6">
        <f t="shared" si="1"/>
        <v>4</v>
      </c>
      <c r="H33" s="6" t="str">
        <f t="shared" si="2"/>
        <v>close</v>
      </c>
      <c r="I33">
        <f t="shared" si="14"/>
        <v>1</v>
      </c>
      <c r="K33" t="str">
        <f t="shared" si="3"/>
        <v/>
      </c>
      <c r="L33" t="str">
        <f t="shared" si="15"/>
        <v/>
      </c>
      <c r="M33" t="str">
        <f t="shared" si="16"/>
        <v/>
      </c>
      <c r="N33">
        <f t="shared" si="6"/>
        <v>4</v>
      </c>
      <c r="O33" t="str">
        <f t="shared" si="7"/>
        <v/>
      </c>
      <c r="P33" t="str">
        <f t="shared" si="17"/>
        <v/>
      </c>
      <c r="Q33">
        <f t="shared" si="9"/>
        <v>0</v>
      </c>
      <c r="R33">
        <f t="shared" si="10"/>
        <v>1</v>
      </c>
      <c r="S33" t="str">
        <f t="shared" si="18"/>
        <v/>
      </c>
      <c r="T33" t="str">
        <f t="shared" si="11"/>
        <v/>
      </c>
      <c r="U33" t="str">
        <f t="shared" si="12"/>
        <v/>
      </c>
      <c r="V33">
        <f t="shared" si="13"/>
        <v>1</v>
      </c>
      <c r="W33" t="str">
        <f t="shared" si="19"/>
        <v/>
      </c>
      <c r="X33" t="str">
        <f t="shared" si="20"/>
        <v/>
      </c>
      <c r="Z33">
        <f t="shared" si="23"/>
        <v>14</v>
      </c>
      <c r="AA33" s="10"/>
      <c r="AB33" s="11"/>
      <c r="AC33" s="11"/>
      <c r="AD33" s="11"/>
      <c r="AE33" s="11"/>
      <c r="AF33" s="12"/>
    </row>
    <row r="34" spans="4:32">
      <c r="D34">
        <f ca="1">RAND()</f>
        <v>0.9276162743376839</v>
      </c>
      <c r="E34" s="6">
        <v>3</v>
      </c>
      <c r="F34" s="6">
        <v>1</v>
      </c>
      <c r="G34" s="6">
        <f t="shared" si="1"/>
        <v>6</v>
      </c>
      <c r="H34" s="6" t="str">
        <f t="shared" si="2"/>
        <v>far</v>
      </c>
      <c r="I34" t="str">
        <f t="shared" si="14"/>
        <v/>
      </c>
      <c r="K34" t="str">
        <f t="shared" si="3"/>
        <v/>
      </c>
      <c r="L34" t="str">
        <f t="shared" si="15"/>
        <v/>
      </c>
      <c r="M34" t="str">
        <f t="shared" si="16"/>
        <v/>
      </c>
      <c r="N34" t="str">
        <f t="shared" si="6"/>
        <v/>
      </c>
      <c r="O34" t="str">
        <f t="shared" si="7"/>
        <v/>
      </c>
      <c r="P34">
        <f t="shared" si="17"/>
        <v>6</v>
      </c>
      <c r="Q34">
        <f t="shared" si="9"/>
        <v>1</v>
      </c>
      <c r="R34">
        <f t="shared" si="10"/>
        <v>1</v>
      </c>
      <c r="S34" t="str">
        <f t="shared" si="18"/>
        <v/>
      </c>
      <c r="T34" t="str">
        <f t="shared" si="11"/>
        <v/>
      </c>
      <c r="U34" t="str">
        <f t="shared" si="12"/>
        <v/>
      </c>
      <c r="V34" t="str">
        <f t="shared" si="13"/>
        <v/>
      </c>
      <c r="W34" t="str">
        <f t="shared" si="19"/>
        <v/>
      </c>
      <c r="X34">
        <f t="shared" si="20"/>
        <v>1</v>
      </c>
      <c r="Z34">
        <f t="shared" si="23"/>
        <v>15</v>
      </c>
      <c r="AA34" s="13"/>
      <c r="AB34" s="14"/>
      <c r="AC34" s="14"/>
      <c r="AD34" s="14"/>
      <c r="AE34" s="14"/>
      <c r="AF34" s="15"/>
    </row>
    <row r="35" spans="4:32">
      <c r="D35">
        <f ca="1">RAND()</f>
        <v>0.64165497389937731</v>
      </c>
      <c r="E35" s="6">
        <v>2</v>
      </c>
      <c r="F35" s="6">
        <v>2</v>
      </c>
      <c r="G35" s="6">
        <f t="shared" si="1"/>
        <v>6</v>
      </c>
      <c r="H35" s="6" t="str">
        <f t="shared" si="2"/>
        <v>close</v>
      </c>
      <c r="I35" t="str">
        <f t="shared" si="14"/>
        <v/>
      </c>
      <c r="K35" t="str">
        <f t="shared" si="3"/>
        <v/>
      </c>
      <c r="L35" t="str">
        <f t="shared" si="15"/>
        <v/>
      </c>
      <c r="M35" t="str">
        <f t="shared" si="16"/>
        <v/>
      </c>
      <c r="N35" t="str">
        <f t="shared" si="6"/>
        <v/>
      </c>
      <c r="O35" t="str">
        <f t="shared" si="7"/>
        <v/>
      </c>
      <c r="P35">
        <f t="shared" si="17"/>
        <v>6</v>
      </c>
      <c r="Q35">
        <f t="shared" si="9"/>
        <v>0</v>
      </c>
      <c r="R35">
        <f t="shared" si="10"/>
        <v>1</v>
      </c>
      <c r="S35" t="str">
        <f t="shared" si="18"/>
        <v/>
      </c>
      <c r="T35" t="str">
        <f t="shared" si="11"/>
        <v/>
      </c>
      <c r="U35" t="str">
        <f t="shared" si="12"/>
        <v/>
      </c>
      <c r="V35" t="str">
        <f t="shared" si="13"/>
        <v/>
      </c>
      <c r="W35" t="str">
        <f t="shared" si="19"/>
        <v/>
      </c>
      <c r="X35">
        <f t="shared" si="20"/>
        <v>1</v>
      </c>
      <c r="Z35">
        <f t="shared" si="23"/>
        <v>16</v>
      </c>
      <c r="AA35" s="16"/>
      <c r="AB35" s="17"/>
      <c r="AC35" s="17"/>
      <c r="AD35" s="17"/>
      <c r="AE35" s="17"/>
      <c r="AF35" s="18"/>
    </row>
    <row r="36" spans="4:32">
      <c r="D36">
        <f ca="1">RAND()</f>
        <v>0.9344364784464041</v>
      </c>
      <c r="E36" s="6">
        <v>2</v>
      </c>
      <c r="F36" s="6">
        <v>1</v>
      </c>
      <c r="G36" s="6">
        <f t="shared" si="1"/>
        <v>1</v>
      </c>
      <c r="H36" s="6" t="str">
        <f t="shared" si="2"/>
        <v>close</v>
      </c>
      <c r="I36">
        <f t="shared" si="14"/>
        <v>1</v>
      </c>
      <c r="K36">
        <f t="shared" si="3"/>
        <v>1</v>
      </c>
      <c r="L36" t="str">
        <f t="shared" si="15"/>
        <v/>
      </c>
      <c r="M36" t="str">
        <f t="shared" si="16"/>
        <v/>
      </c>
      <c r="N36" t="str">
        <f t="shared" si="6"/>
        <v/>
      </c>
      <c r="O36" t="str">
        <f t="shared" si="7"/>
        <v/>
      </c>
      <c r="P36" t="str">
        <f t="shared" si="17"/>
        <v/>
      </c>
      <c r="Q36">
        <f t="shared" si="9"/>
        <v>1</v>
      </c>
      <c r="R36">
        <f t="shared" si="10"/>
        <v>1</v>
      </c>
      <c r="S36">
        <f t="shared" si="18"/>
        <v>1</v>
      </c>
      <c r="T36" t="str">
        <f t="shared" si="11"/>
        <v/>
      </c>
      <c r="U36" t="str">
        <f t="shared" si="12"/>
        <v/>
      </c>
      <c r="V36" t="str">
        <f t="shared" si="13"/>
        <v/>
      </c>
      <c r="W36" t="str">
        <f t="shared" si="19"/>
        <v/>
      </c>
      <c r="X36" t="str">
        <f t="shared" si="20"/>
        <v/>
      </c>
      <c r="Z36">
        <f t="shared" si="23"/>
        <v>17</v>
      </c>
      <c r="AA36" s="7"/>
      <c r="AB36" s="8"/>
      <c r="AC36" s="8"/>
      <c r="AD36" s="8"/>
      <c r="AE36" s="8"/>
      <c r="AF36" s="9"/>
    </row>
    <row r="37" spans="4:32">
      <c r="D37">
        <f ca="1">RAND()</f>
        <v>3.4488958468181785E-2</v>
      </c>
      <c r="E37" s="6">
        <v>4</v>
      </c>
      <c r="F37" s="6">
        <v>2</v>
      </c>
      <c r="G37" s="6">
        <f t="shared" si="1"/>
        <v>6</v>
      </c>
      <c r="H37" s="6" t="str">
        <f t="shared" si="2"/>
        <v>far</v>
      </c>
      <c r="I37" t="str">
        <f t="shared" si="14"/>
        <v/>
      </c>
      <c r="K37" t="str">
        <f t="shared" si="3"/>
        <v/>
      </c>
      <c r="L37" t="str">
        <f t="shared" si="15"/>
        <v/>
      </c>
      <c r="M37" t="str">
        <f t="shared" si="16"/>
        <v/>
      </c>
      <c r="N37" t="str">
        <f t="shared" si="6"/>
        <v/>
      </c>
      <c r="O37" t="str">
        <f t="shared" si="7"/>
        <v/>
      </c>
      <c r="P37">
        <f t="shared" si="17"/>
        <v>6</v>
      </c>
      <c r="Q37">
        <f t="shared" si="9"/>
        <v>0</v>
      </c>
      <c r="R37">
        <f t="shared" si="10"/>
        <v>1</v>
      </c>
      <c r="S37" t="str">
        <f t="shared" si="18"/>
        <v/>
      </c>
      <c r="T37" t="str">
        <f t="shared" si="11"/>
        <v/>
      </c>
      <c r="U37" t="str">
        <f t="shared" si="12"/>
        <v/>
      </c>
      <c r="V37" t="str">
        <f t="shared" si="13"/>
        <v/>
      </c>
      <c r="W37" t="str">
        <f t="shared" si="19"/>
        <v/>
      </c>
      <c r="X37">
        <f t="shared" si="20"/>
        <v>1</v>
      </c>
      <c r="Z37">
        <f t="shared" si="23"/>
        <v>18</v>
      </c>
      <c r="AA37" s="10"/>
      <c r="AB37" s="11"/>
      <c r="AC37" s="11"/>
      <c r="AD37" s="11"/>
      <c r="AE37" s="11"/>
      <c r="AF37" s="12"/>
    </row>
    <row r="38" spans="4:32">
      <c r="D38">
        <f ca="1">RAND()</f>
        <v>0.80836027377625719</v>
      </c>
      <c r="E38" s="6">
        <v>3</v>
      </c>
      <c r="F38" s="6">
        <v>1</v>
      </c>
      <c r="G38" s="6">
        <f t="shared" si="1"/>
        <v>5</v>
      </c>
      <c r="H38" s="6" t="str">
        <f t="shared" si="2"/>
        <v>far</v>
      </c>
      <c r="I38" t="str">
        <f t="shared" si="14"/>
        <v/>
      </c>
      <c r="K38" t="str">
        <f t="shared" si="3"/>
        <v/>
      </c>
      <c r="L38" t="str">
        <f t="shared" si="15"/>
        <v/>
      </c>
      <c r="M38" t="str">
        <f t="shared" si="16"/>
        <v/>
      </c>
      <c r="N38" t="str">
        <f t="shared" si="6"/>
        <v/>
      </c>
      <c r="O38">
        <f t="shared" si="7"/>
        <v>5</v>
      </c>
      <c r="P38" t="str">
        <f t="shared" si="17"/>
        <v/>
      </c>
      <c r="Q38">
        <f t="shared" si="9"/>
        <v>1</v>
      </c>
      <c r="R38">
        <f t="shared" si="10"/>
        <v>1</v>
      </c>
      <c r="S38" t="str">
        <f t="shared" si="18"/>
        <v/>
      </c>
      <c r="T38" t="str">
        <f t="shared" si="11"/>
        <v/>
      </c>
      <c r="U38" t="str">
        <f t="shared" si="12"/>
        <v/>
      </c>
      <c r="V38" t="str">
        <f t="shared" si="13"/>
        <v/>
      </c>
      <c r="W38">
        <f t="shared" si="19"/>
        <v>1</v>
      </c>
      <c r="X38" t="str">
        <f t="shared" si="20"/>
        <v/>
      </c>
      <c r="Z38">
        <f t="shared" si="23"/>
        <v>19</v>
      </c>
      <c r="AA38" s="13"/>
      <c r="AB38" s="14"/>
      <c r="AC38" s="14"/>
      <c r="AD38" s="14"/>
      <c r="AE38" s="14"/>
      <c r="AF38" s="15"/>
    </row>
    <row r="39" spans="4:32">
      <c r="D39">
        <f ca="1">RAND()</f>
        <v>3.9514310658247176E-2</v>
      </c>
      <c r="E39" s="6">
        <v>6</v>
      </c>
      <c r="F39" s="6">
        <v>2</v>
      </c>
      <c r="G39" s="6">
        <f t="shared" si="1"/>
        <v>6</v>
      </c>
      <c r="H39" s="6" t="str">
        <f t="shared" si="2"/>
        <v>close</v>
      </c>
      <c r="I39" t="str">
        <f t="shared" si="14"/>
        <v/>
      </c>
      <c r="K39" t="str">
        <f t="shared" si="3"/>
        <v/>
      </c>
      <c r="L39" t="str">
        <f t="shared" si="15"/>
        <v/>
      </c>
      <c r="M39" t="str">
        <f t="shared" si="16"/>
        <v/>
      </c>
      <c r="N39" t="str">
        <f t="shared" si="6"/>
        <v/>
      </c>
      <c r="O39" t="str">
        <f t="shared" si="7"/>
        <v/>
      </c>
      <c r="P39">
        <f t="shared" si="17"/>
        <v>6</v>
      </c>
      <c r="Q39">
        <f t="shared" si="9"/>
        <v>0</v>
      </c>
      <c r="R39">
        <f t="shared" si="10"/>
        <v>1</v>
      </c>
      <c r="S39" t="str">
        <f t="shared" si="18"/>
        <v/>
      </c>
      <c r="T39" t="str">
        <f t="shared" si="11"/>
        <v/>
      </c>
      <c r="U39" t="str">
        <f t="shared" si="12"/>
        <v/>
      </c>
      <c r="V39" t="str">
        <f t="shared" si="13"/>
        <v/>
      </c>
      <c r="W39" t="str">
        <f t="shared" si="19"/>
        <v/>
      </c>
      <c r="X39">
        <f t="shared" si="20"/>
        <v>1</v>
      </c>
      <c r="Z39">
        <f t="shared" si="23"/>
        <v>20</v>
      </c>
      <c r="AA39" s="10"/>
      <c r="AB39" s="11"/>
      <c r="AC39" s="11"/>
      <c r="AD39" s="11"/>
      <c r="AE39" s="11"/>
      <c r="AF39" s="12"/>
    </row>
    <row r="40" spans="4:32">
      <c r="D40">
        <f ca="1">RAND()</f>
        <v>0.36724772667986816</v>
      </c>
      <c r="E40" s="6">
        <v>6</v>
      </c>
      <c r="F40" s="6">
        <v>1</v>
      </c>
      <c r="G40" s="6">
        <f t="shared" si="1"/>
        <v>2</v>
      </c>
      <c r="H40" s="6" t="str">
        <f t="shared" ref="H40:H43" si="24">IF(F40="","",IF(OR(AND(F40=2,OR(E40=1,E40=4)),AND(F40=1,OR(E40=3,E40=6))),"far","close"))</f>
        <v>far</v>
      </c>
      <c r="I40" t="str">
        <f t="shared" si="14"/>
        <v/>
      </c>
      <c r="K40" t="str">
        <f t="shared" si="3"/>
        <v/>
      </c>
      <c r="L40">
        <f t="shared" si="15"/>
        <v>2</v>
      </c>
      <c r="M40" t="str">
        <f t="shared" si="16"/>
        <v/>
      </c>
      <c r="N40" t="str">
        <f t="shared" si="6"/>
        <v/>
      </c>
      <c r="O40" t="str">
        <f t="shared" si="7"/>
        <v/>
      </c>
      <c r="P40" t="str">
        <f t="shared" si="17"/>
        <v/>
      </c>
      <c r="Q40">
        <f t="shared" ref="Q40:Q43" si="25">IF(F40=1,1,0)</f>
        <v>1</v>
      </c>
      <c r="R40">
        <f t="shared" ref="R40:R43" si="26">IF(F39&lt;&gt;F40,1,0)</f>
        <v>1</v>
      </c>
      <c r="S40" t="str">
        <f t="shared" ref="S40:S43" si="27">IF($G40=1,1,"")</f>
        <v/>
      </c>
      <c r="T40">
        <f t="shared" ref="T40:T43" si="28">IF($G40=2,1,"")</f>
        <v>1</v>
      </c>
      <c r="U40" t="str">
        <f t="shared" ref="U40:U43" si="29">IF($G40=3,1,"")</f>
        <v/>
      </c>
      <c r="V40" t="str">
        <f t="shared" ref="V40:V43" si="30">IF($G40=4,1,"")</f>
        <v/>
      </c>
      <c r="W40" t="str">
        <f t="shared" si="19"/>
        <v/>
      </c>
      <c r="X40" t="str">
        <f t="shared" si="20"/>
        <v/>
      </c>
      <c r="Z40">
        <f t="shared" si="23"/>
        <v>21</v>
      </c>
      <c r="AA40" s="13"/>
      <c r="AB40" s="14"/>
      <c r="AC40" s="14"/>
      <c r="AD40" s="14"/>
      <c r="AE40" s="14"/>
      <c r="AF40" s="15"/>
    </row>
    <row r="41" spans="4:32">
      <c r="D41">
        <f ca="1">RAND()</f>
        <v>0.71063861317254506</v>
      </c>
      <c r="E41" s="6">
        <v>6</v>
      </c>
      <c r="F41" s="6">
        <v>2</v>
      </c>
      <c r="G41" s="6">
        <f t="shared" si="1"/>
        <v>2</v>
      </c>
      <c r="H41" s="6" t="str">
        <f t="shared" si="24"/>
        <v>close</v>
      </c>
      <c r="I41" t="str">
        <f t="shared" si="14"/>
        <v/>
      </c>
      <c r="K41" t="str">
        <f t="shared" si="3"/>
        <v/>
      </c>
      <c r="L41">
        <f t="shared" ref="L41:L43" si="31">IF(K41="",IF(E40=E41,2,""),"")</f>
        <v>2</v>
      </c>
      <c r="M41" t="str">
        <f t="shared" si="16"/>
        <v/>
      </c>
      <c r="N41" t="str">
        <f t="shared" si="6"/>
        <v/>
      </c>
      <c r="O41" t="str">
        <f t="shared" si="7"/>
        <v/>
      </c>
      <c r="P41" t="str">
        <f t="shared" si="17"/>
        <v/>
      </c>
      <c r="Q41">
        <f t="shared" si="25"/>
        <v>0</v>
      </c>
      <c r="R41">
        <f t="shared" si="26"/>
        <v>1</v>
      </c>
      <c r="S41" t="str">
        <f t="shared" si="27"/>
        <v/>
      </c>
      <c r="T41">
        <f t="shared" si="28"/>
        <v>1</v>
      </c>
      <c r="U41" t="str">
        <f t="shared" si="29"/>
        <v/>
      </c>
      <c r="V41" t="str">
        <f t="shared" si="30"/>
        <v/>
      </c>
      <c r="W41" t="str">
        <f t="shared" si="19"/>
        <v/>
      </c>
      <c r="X41" t="str">
        <f t="shared" si="20"/>
        <v/>
      </c>
      <c r="Z41">
        <f t="shared" si="23"/>
        <v>22</v>
      </c>
      <c r="AA41" s="10"/>
      <c r="AB41" s="11"/>
      <c r="AC41" s="11"/>
      <c r="AD41" s="11"/>
      <c r="AE41" s="11"/>
      <c r="AF41" s="12"/>
    </row>
    <row r="42" spans="4:32">
      <c r="D42">
        <f ca="1">RAND()</f>
        <v>0.83325281582895205</v>
      </c>
      <c r="E42" s="6">
        <v>4</v>
      </c>
      <c r="F42" s="6">
        <v>1</v>
      </c>
      <c r="G42" s="6">
        <f t="shared" si="1"/>
        <v>4</v>
      </c>
      <c r="H42" s="6" t="str">
        <f t="shared" si="24"/>
        <v>close</v>
      </c>
      <c r="I42">
        <f t="shared" si="14"/>
        <v>1</v>
      </c>
      <c r="K42" t="str">
        <f t="shared" si="3"/>
        <v/>
      </c>
      <c r="L42" t="str">
        <f t="shared" si="31"/>
        <v/>
      </c>
      <c r="M42" t="str">
        <f t="shared" si="16"/>
        <v/>
      </c>
      <c r="N42">
        <f t="shared" si="6"/>
        <v>4</v>
      </c>
      <c r="O42" t="str">
        <f t="shared" si="7"/>
        <v/>
      </c>
      <c r="P42" t="str">
        <f t="shared" si="17"/>
        <v/>
      </c>
      <c r="Q42">
        <f t="shared" si="25"/>
        <v>1</v>
      </c>
      <c r="R42">
        <f t="shared" si="26"/>
        <v>1</v>
      </c>
      <c r="S42" t="str">
        <f t="shared" si="27"/>
        <v/>
      </c>
      <c r="T42" t="str">
        <f t="shared" si="28"/>
        <v/>
      </c>
      <c r="U42" t="str">
        <f t="shared" si="29"/>
        <v/>
      </c>
      <c r="V42">
        <f t="shared" si="30"/>
        <v>1</v>
      </c>
      <c r="W42" t="str">
        <f t="shared" si="19"/>
        <v/>
      </c>
      <c r="X42" t="str">
        <f t="shared" si="20"/>
        <v/>
      </c>
      <c r="Z42">
        <f t="shared" si="23"/>
        <v>23</v>
      </c>
      <c r="AA42" s="13"/>
      <c r="AB42" s="14"/>
      <c r="AC42" s="14"/>
      <c r="AD42" s="14"/>
      <c r="AE42" s="14"/>
      <c r="AF42" s="15"/>
    </row>
    <row r="43" spans="4:32">
      <c r="D43">
        <f ca="1">RAND()</f>
        <v>0.56713706043707379</v>
      </c>
      <c r="E43" s="6">
        <v>1</v>
      </c>
      <c r="F43" s="6">
        <v>2</v>
      </c>
      <c r="G43" s="6">
        <f t="shared" si="1"/>
        <v>6</v>
      </c>
      <c r="H43" s="6" t="str">
        <f t="shared" si="24"/>
        <v>far</v>
      </c>
      <c r="I43" t="str">
        <f t="shared" si="14"/>
        <v/>
      </c>
      <c r="K43" t="str">
        <f t="shared" si="3"/>
        <v/>
      </c>
      <c r="L43" t="str">
        <f t="shared" si="31"/>
        <v/>
      </c>
      <c r="M43" t="str">
        <f t="shared" si="16"/>
        <v/>
      </c>
      <c r="N43" t="str">
        <f t="shared" si="6"/>
        <v/>
      </c>
      <c r="O43" t="str">
        <f t="shared" si="7"/>
        <v/>
      </c>
      <c r="P43">
        <f t="shared" si="17"/>
        <v>6</v>
      </c>
      <c r="Q43">
        <f t="shared" si="25"/>
        <v>0</v>
      </c>
      <c r="R43">
        <f t="shared" si="26"/>
        <v>1</v>
      </c>
      <c r="S43" t="str">
        <f t="shared" si="27"/>
        <v/>
      </c>
      <c r="T43" t="str">
        <f t="shared" si="28"/>
        <v/>
      </c>
      <c r="U43" t="str">
        <f t="shared" si="29"/>
        <v/>
      </c>
      <c r="V43" t="str">
        <f t="shared" si="30"/>
        <v/>
      </c>
      <c r="W43" t="str">
        <f t="shared" si="19"/>
        <v/>
      </c>
      <c r="X43">
        <f t="shared" si="20"/>
        <v>1</v>
      </c>
      <c r="Z43">
        <f t="shared" si="23"/>
        <v>24</v>
      </c>
      <c r="AA43" s="10"/>
      <c r="AB43" s="11"/>
      <c r="AC43" s="11"/>
      <c r="AD43" s="11"/>
      <c r="AE43" s="11"/>
      <c r="AF43" s="12"/>
    </row>
    <row r="44" spans="4:32">
      <c r="Z44">
        <f t="shared" si="23"/>
        <v>25</v>
      </c>
      <c r="AA44" s="13"/>
      <c r="AB44" s="14"/>
      <c r="AC44" s="14"/>
      <c r="AD44" s="14"/>
      <c r="AE44" s="14"/>
      <c r="AF44" s="15"/>
    </row>
    <row r="45" spans="4:32">
      <c r="Z45">
        <f t="shared" si="23"/>
        <v>26</v>
      </c>
      <c r="AA45" s="10"/>
      <c r="AB45" s="11"/>
      <c r="AC45" s="11"/>
      <c r="AD45" s="11"/>
      <c r="AE45" s="11"/>
      <c r="AF45" s="12"/>
    </row>
    <row r="46" spans="4:32">
      <c r="Z46">
        <f t="shared" si="23"/>
        <v>27</v>
      </c>
      <c r="AA46" s="13"/>
      <c r="AB46" s="14"/>
      <c r="AC46" s="14"/>
      <c r="AD46" s="14"/>
      <c r="AE46" s="14"/>
      <c r="AF46" s="15"/>
    </row>
    <row r="47" spans="4:32">
      <c r="Z47">
        <f t="shared" si="23"/>
        <v>28</v>
      </c>
      <c r="AA47" s="10"/>
      <c r="AB47" s="11"/>
      <c r="AC47" s="11"/>
      <c r="AD47" s="11"/>
      <c r="AE47" s="11"/>
      <c r="AF47" s="12"/>
    </row>
    <row r="48" spans="4:32">
      <c r="Z48">
        <f t="shared" si="23"/>
        <v>29</v>
      </c>
      <c r="AA48" s="13"/>
      <c r="AB48" s="14"/>
      <c r="AC48" s="14"/>
      <c r="AD48" s="14"/>
      <c r="AE48" s="14"/>
      <c r="AF48" s="15"/>
    </row>
    <row r="49" spans="26:32">
      <c r="Z49">
        <f t="shared" si="23"/>
        <v>30</v>
      </c>
      <c r="AA49" s="10"/>
      <c r="AB49" s="11"/>
      <c r="AC49" s="11"/>
      <c r="AD49" s="11"/>
      <c r="AE49" s="11"/>
      <c r="AF49" s="12"/>
    </row>
    <row r="50" spans="26:32">
      <c r="Z50">
        <f t="shared" si="23"/>
        <v>31</v>
      </c>
      <c r="AA50" s="13"/>
      <c r="AB50" s="14"/>
      <c r="AC50" s="14"/>
      <c r="AD50" s="14"/>
      <c r="AE50" s="14"/>
      <c r="AF50" s="15"/>
    </row>
    <row r="51" spans="26:32">
      <c r="Z51">
        <f t="shared" si="23"/>
        <v>32</v>
      </c>
      <c r="AA51" s="16"/>
      <c r="AB51" s="17"/>
      <c r="AC51" s="17"/>
      <c r="AD51" s="17"/>
      <c r="AE51" s="17"/>
      <c r="AF51" s="18"/>
    </row>
    <row r="52" spans="26:32">
      <c r="Z52">
        <f t="shared" si="23"/>
        <v>33</v>
      </c>
      <c r="AA52" s="7"/>
      <c r="AB52" s="8"/>
      <c r="AC52" s="8"/>
      <c r="AD52" s="8"/>
      <c r="AE52" s="8"/>
      <c r="AF52" s="9"/>
    </row>
    <row r="53" spans="26:32">
      <c r="Z53">
        <f t="shared" si="23"/>
        <v>34</v>
      </c>
      <c r="AA53" s="10"/>
      <c r="AB53" s="11"/>
      <c r="AC53" s="11"/>
      <c r="AD53" s="11"/>
      <c r="AE53" s="11"/>
      <c r="AF53" s="12"/>
    </row>
    <row r="54" spans="26:32">
      <c r="Z54">
        <f t="shared" si="23"/>
        <v>35</v>
      </c>
      <c r="AA54" s="13"/>
      <c r="AB54" s="14"/>
      <c r="AC54" s="14"/>
      <c r="AD54" s="14"/>
      <c r="AE54" s="14"/>
      <c r="AF54" s="15"/>
    </row>
    <row r="55" spans="26:32">
      <c r="Z55">
        <f t="shared" si="23"/>
        <v>36</v>
      </c>
      <c r="AA55" s="3"/>
      <c r="AB55" s="3"/>
      <c r="AC55" s="3"/>
      <c r="AD55" s="3"/>
      <c r="AE55" s="3"/>
      <c r="AF55" s="3"/>
    </row>
    <row r="56" spans="26:32">
      <c r="Z56">
        <f t="shared" si="23"/>
        <v>37</v>
      </c>
      <c r="AA56" s="13"/>
      <c r="AB56" s="14"/>
      <c r="AC56" s="14"/>
      <c r="AD56" s="14"/>
      <c r="AE56" s="14"/>
      <c r="AF56" s="15"/>
    </row>
    <row r="57" spans="26:32">
      <c r="Z57">
        <f t="shared" si="23"/>
        <v>38</v>
      </c>
      <c r="AA57" s="10"/>
      <c r="AB57" s="11"/>
      <c r="AC57" s="11"/>
      <c r="AD57" s="11"/>
      <c r="AE57" s="11"/>
      <c r="AF57" s="12"/>
    </row>
    <row r="58" spans="26:32">
      <c r="Z58">
        <f t="shared" si="23"/>
        <v>39</v>
      </c>
      <c r="AA58" s="13"/>
      <c r="AB58" s="14"/>
      <c r="AC58" s="14"/>
      <c r="AD58" s="14"/>
      <c r="AE58" s="14"/>
      <c r="AF58" s="15"/>
    </row>
    <row r="59" spans="26:32">
      <c r="Z59">
        <f t="shared" si="23"/>
        <v>40</v>
      </c>
      <c r="AA59" s="10"/>
      <c r="AB59" s="11"/>
      <c r="AC59" s="11"/>
      <c r="AD59" s="11"/>
      <c r="AE59" s="11"/>
      <c r="AF59" s="12"/>
    </row>
    <row r="60" spans="26:32">
      <c r="Z60">
        <f t="shared" si="23"/>
        <v>41</v>
      </c>
      <c r="AA60" s="13"/>
      <c r="AB60" s="14"/>
      <c r="AC60" s="14"/>
      <c r="AD60" s="14"/>
      <c r="AE60" s="14"/>
      <c r="AF60" s="15"/>
    </row>
    <row r="61" spans="26:32">
      <c r="Z61">
        <f t="shared" si="23"/>
        <v>42</v>
      </c>
      <c r="AA61" s="10"/>
      <c r="AB61" s="11"/>
      <c r="AC61" s="11"/>
      <c r="AD61" s="11"/>
      <c r="AE61" s="11"/>
      <c r="AF61" s="12"/>
    </row>
    <row r="62" spans="26:32">
      <c r="Z62">
        <f t="shared" si="23"/>
        <v>43</v>
      </c>
      <c r="AA62" s="13"/>
      <c r="AB62" s="14"/>
      <c r="AC62" s="14"/>
      <c r="AD62" s="14"/>
      <c r="AE62" s="14"/>
      <c r="AF62" s="15"/>
    </row>
    <row r="63" spans="26:32">
      <c r="Z63">
        <f t="shared" si="23"/>
        <v>44</v>
      </c>
      <c r="AA63" s="10"/>
      <c r="AB63" s="11"/>
      <c r="AC63" s="11"/>
      <c r="AD63" s="11"/>
      <c r="AE63" s="11"/>
      <c r="AF63" s="12"/>
    </row>
    <row r="64" spans="26:32">
      <c r="Z64">
        <f t="shared" si="23"/>
        <v>45</v>
      </c>
      <c r="AA64" s="13"/>
      <c r="AB64" s="14"/>
      <c r="AC64" s="14"/>
      <c r="AD64" s="14"/>
      <c r="AE64" s="14"/>
      <c r="AF64" s="15"/>
    </row>
    <row r="65" spans="26:32">
      <c r="Z65">
        <f t="shared" si="23"/>
        <v>46</v>
      </c>
      <c r="AA65" s="10"/>
      <c r="AB65" s="11"/>
      <c r="AC65" s="11"/>
      <c r="AD65" s="11"/>
      <c r="AE65" s="11"/>
      <c r="AF65" s="12"/>
    </row>
    <row r="66" spans="26:32">
      <c r="Z66">
        <f t="shared" si="23"/>
        <v>47</v>
      </c>
      <c r="AA66" s="13"/>
      <c r="AB66" s="14"/>
      <c r="AC66" s="14"/>
      <c r="AD66" s="14"/>
      <c r="AE66" s="14"/>
      <c r="AF66" s="15"/>
    </row>
    <row r="67" spans="26:32">
      <c r="Z67">
        <f t="shared" si="23"/>
        <v>48</v>
      </c>
      <c r="AA67" s="16"/>
      <c r="AB67" s="17"/>
      <c r="AC67" s="17"/>
      <c r="AD67" s="17"/>
      <c r="AE67" s="17"/>
      <c r="AF67" s="18"/>
    </row>
    <row r="68" spans="26:32">
      <c r="Z68">
        <f t="shared" si="23"/>
        <v>49</v>
      </c>
      <c r="AA68" s="7"/>
      <c r="AB68" s="8"/>
      <c r="AC68" s="8"/>
      <c r="AD68" s="8"/>
      <c r="AE68" s="8"/>
      <c r="AF68" s="9"/>
    </row>
    <row r="69" spans="26:32">
      <c r="Z69">
        <f t="shared" si="23"/>
        <v>50</v>
      </c>
      <c r="AA69" s="10"/>
      <c r="AB69" s="11"/>
      <c r="AC69" s="11"/>
      <c r="AD69" s="11"/>
      <c r="AE69" s="11"/>
      <c r="AF69" s="12"/>
    </row>
    <row r="70" spans="26:32">
      <c r="Z70">
        <f t="shared" si="23"/>
        <v>51</v>
      </c>
      <c r="AA70" s="13"/>
      <c r="AB70" s="14"/>
      <c r="AC70" s="14"/>
      <c r="AD70" s="14"/>
      <c r="AE70" s="14"/>
      <c r="AF70" s="15"/>
    </row>
    <row r="71" spans="26:32">
      <c r="Z71">
        <f t="shared" si="23"/>
        <v>52</v>
      </c>
      <c r="AA71" s="10"/>
      <c r="AB71" s="11"/>
      <c r="AC71" s="11"/>
      <c r="AD71" s="11"/>
      <c r="AE71" s="11"/>
      <c r="AF71" s="12"/>
    </row>
    <row r="72" spans="26:32">
      <c r="Z72">
        <f t="shared" si="23"/>
        <v>53</v>
      </c>
      <c r="AA72" s="13"/>
      <c r="AB72" s="14"/>
      <c r="AC72" s="14"/>
      <c r="AD72" s="14"/>
      <c r="AE72" s="14"/>
      <c r="AF72" s="15"/>
    </row>
    <row r="73" spans="26:32">
      <c r="Z73">
        <f t="shared" si="23"/>
        <v>54</v>
      </c>
      <c r="AA73" s="10"/>
      <c r="AB73" s="11"/>
      <c r="AC73" s="11"/>
      <c r="AD73" s="11"/>
      <c r="AE73" s="11"/>
      <c r="AF73" s="12"/>
    </row>
    <row r="74" spans="26:32">
      <c r="Z74">
        <f t="shared" si="23"/>
        <v>55</v>
      </c>
      <c r="AA74" s="13"/>
      <c r="AB74" s="14"/>
      <c r="AC74" s="14"/>
      <c r="AD74" s="14"/>
      <c r="AE74" s="14"/>
      <c r="AF74" s="15"/>
    </row>
    <row r="75" spans="26:32">
      <c r="Z75">
        <f t="shared" si="23"/>
        <v>56</v>
      </c>
      <c r="AA75" s="10"/>
      <c r="AB75" s="11"/>
      <c r="AC75" s="11"/>
      <c r="AD75" s="11"/>
      <c r="AE75" s="11"/>
      <c r="AF75" s="12"/>
    </row>
    <row r="76" spans="26:32">
      <c r="Z76">
        <f t="shared" si="23"/>
        <v>57</v>
      </c>
      <c r="AA76" s="13"/>
      <c r="AB76" s="14"/>
      <c r="AC76" s="14"/>
      <c r="AD76" s="14"/>
      <c r="AE76" s="14"/>
      <c r="AF76" s="15"/>
    </row>
    <row r="77" spans="26:32">
      <c r="Z77">
        <f t="shared" si="23"/>
        <v>58</v>
      </c>
      <c r="AA77" s="10"/>
      <c r="AB77" s="11"/>
      <c r="AC77" s="11"/>
      <c r="AD77" s="11"/>
      <c r="AE77" s="11"/>
      <c r="AF77" s="12"/>
    </row>
    <row r="78" spans="26:32">
      <c r="Z78">
        <f t="shared" si="23"/>
        <v>59</v>
      </c>
      <c r="AA78" s="13"/>
      <c r="AB78" s="14"/>
      <c r="AC78" s="14"/>
      <c r="AD78" s="14"/>
      <c r="AE78" s="14"/>
      <c r="AF78" s="15"/>
    </row>
    <row r="79" spans="26:32">
      <c r="Z79">
        <f t="shared" si="23"/>
        <v>60</v>
      </c>
      <c r="AA79" s="10"/>
      <c r="AB79" s="11"/>
      <c r="AC79" s="11"/>
      <c r="AD79" s="11"/>
      <c r="AE79" s="11"/>
      <c r="AF79" s="12"/>
    </row>
    <row r="80" spans="26:32">
      <c r="Z80">
        <f t="shared" si="23"/>
        <v>61</v>
      </c>
      <c r="AA80" s="13"/>
      <c r="AB80" s="14"/>
      <c r="AC80" s="14"/>
      <c r="AD80" s="14"/>
      <c r="AE80" s="14"/>
      <c r="AF80" s="15"/>
    </row>
    <row r="81" spans="26:32">
      <c r="Z81">
        <f t="shared" si="23"/>
        <v>62</v>
      </c>
      <c r="AA81" s="10"/>
      <c r="AB81" s="11"/>
      <c r="AC81" s="11"/>
      <c r="AD81" s="11"/>
      <c r="AE81" s="11"/>
      <c r="AF81" s="12"/>
    </row>
    <row r="82" spans="26:32">
      <c r="Z82">
        <f t="shared" si="23"/>
        <v>63</v>
      </c>
      <c r="AA82" s="13"/>
      <c r="AB82" s="14"/>
      <c r="AC82" s="14"/>
      <c r="AD82" s="14"/>
      <c r="AE82" s="14"/>
      <c r="AF82" s="15"/>
    </row>
    <row r="83" spans="26:32">
      <c r="Z83">
        <f t="shared" si="23"/>
        <v>64</v>
      </c>
      <c r="AA83" s="16"/>
      <c r="AB83" s="17"/>
      <c r="AC83" s="17"/>
      <c r="AD83" s="17"/>
      <c r="AE83" s="17"/>
      <c r="AF83" s="18"/>
    </row>
  </sheetData>
  <sortState ref="D8:E43">
    <sortCondition ref="D6"/>
  </sortState>
  <mergeCells count="3">
    <mergeCell ref="AA14:AF16"/>
    <mergeCell ref="Q6:R6"/>
    <mergeCell ref="Q5:R5"/>
  </mergeCells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rightToLeft="1" workbookViewId="0"/>
  </sheetViews>
  <sheetFormatPr defaultRowHeight="14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Bond</dc:creator>
  <cp:lastModifiedBy>Mr Bond</cp:lastModifiedBy>
  <dcterms:created xsi:type="dcterms:W3CDTF">2015-11-09T14:44:11Z</dcterms:created>
  <dcterms:modified xsi:type="dcterms:W3CDTF">2017-08-01T13:19:18Z</dcterms:modified>
</cp:coreProperties>
</file>